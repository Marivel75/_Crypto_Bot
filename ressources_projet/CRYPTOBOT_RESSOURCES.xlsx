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scovery" sheetId="1" r:id="rId5"/>
    <sheet state="visible" name="Schéma ETL baqsique" sheetId="2" r:id="rId6"/>
    <sheet state="visible" name="prepa_swot" sheetId="3" r:id="rId7"/>
    <sheet state="visible" name="Planning" sheetId="4" r:id="rId8"/>
    <sheet state="visible" name="Roadmap_technique" sheetId="5" r:id="rId9"/>
    <sheet state="visible" name="APIs" sheetId="6" r:id="rId10"/>
    <sheet state="visible" name="Data secteur cryptoDFI" sheetId="7" r:id="rId11"/>
    <sheet state="visible" name="Features" sheetId="8" r:id="rId12"/>
    <sheet state="visible" name="Stack_technique" sheetId="9" r:id="rId13"/>
    <sheet state="visible" name="Budget" sheetId="10" r:id="rId14"/>
  </sheets>
  <definedNames>
    <definedName hidden="1" localSheetId="0" name="_xlnm._FilterDatabase">Discovery!$A$1:$E$69</definedName>
  </definedNames>
  <calcPr/>
</workbook>
</file>

<file path=xl/sharedStrings.xml><?xml version="1.0" encoding="utf-8"?>
<sst xmlns="http://schemas.openxmlformats.org/spreadsheetml/2006/main" count="544" uniqueCount="394">
  <si>
    <t>items</t>
  </si>
  <si>
    <t>Catégorie</t>
  </si>
  <si>
    <t>Acronyme</t>
  </si>
  <si>
    <t>API
(O/N)</t>
  </si>
  <si>
    <t>Description/Commentaire</t>
  </si>
  <si>
    <t>Blockchain</t>
  </si>
  <si>
    <t>Technologie</t>
  </si>
  <si>
    <t>Non</t>
  </si>
  <si>
    <t>Technologie sous jacente aux crypto monnaies. Type de base de données distribuée (ledger), décentralisée et immuable. 
=&gt; pas d’autorité centrale (banque, État)
=&gt; réseau de nœuds (les utilisateurs) qui valident les transactions via un consensus (Proof of Work, Proof of Stake…)</t>
  </si>
  <si>
    <t>Ethereum</t>
  </si>
  <si>
    <t>Lancée en 2015, plateforme de smart contracts, NFT, dApps, DeFi</t>
  </si>
  <si>
    <t>Bitcoin</t>
  </si>
  <si>
    <t>Digital currency</t>
  </si>
  <si>
    <t>BTC</t>
  </si>
  <si>
    <t>Première crypto, créée en 2009. “Offre limitée à 21 millions de BTC.
Utilisée comme référence. Grande liquidité</t>
  </si>
  <si>
    <t>Ether</t>
  </si>
  <si>
    <t>ETH</t>
  </si>
  <si>
    <t>La crypto d'Ethereum. Plateforme de smart contracts pour applications décentralisées (DeFi, NFT...)</t>
  </si>
  <si>
    <t>Binance</t>
  </si>
  <si>
    <t>Centralised exchange</t>
  </si>
  <si>
    <t>Oui</t>
  </si>
  <si>
    <t>leader des CEX ; grande liquidité, frais faibles (~0,1%), grand choix de cryptos (300 à 400)</t>
  </si>
  <si>
    <t>Coinbase</t>
  </si>
  <si>
    <t>frais ~0,5%,  ~200 cryptos</t>
  </si>
  <si>
    <t>Kraken</t>
  </si>
  <si>
    <t>OKX</t>
  </si>
  <si>
    <t>Bybit</t>
  </si>
  <si>
    <t>KuCoin</t>
  </si>
  <si>
    <t>Bitfinex</t>
  </si>
  <si>
    <t>Uniswap</t>
  </si>
  <si>
    <t>Decentralised exchange</t>
  </si>
  <si>
    <t>dYdX</t>
  </si>
  <si>
    <t>Tether</t>
  </si>
  <si>
    <t>USDT</t>
  </si>
  <si>
    <t>Stable coin indexé sur le dollar US ; svt utilisé en trading, refuge contre la volatilité</t>
  </si>
  <si>
    <t>USD Coin</t>
  </si>
  <si>
    <t>USDC</t>
  </si>
  <si>
    <t>Stablecoin émis par Circle, utilsé en DeFi et exchange  US.  Réputé pour la transparence.</t>
  </si>
  <si>
    <t>Binance coin</t>
  </si>
  <si>
    <t>BNB</t>
  </si>
  <si>
    <t>Lancée par Binance, grande liquidité. Permet de payer des frais réduits sur l’exchange, de bénéficier de programmes internes, etc.</t>
  </si>
  <si>
    <t>XRP</t>
  </si>
  <si>
    <t>Créée par Ripple. Conçue pour les paiements transfrontaliers. Utilisée par certaines institutions financières.</t>
  </si>
  <si>
    <t>Solana</t>
  </si>
  <si>
    <t>SOL</t>
  </si>
  <si>
    <t>concurrent d'Ethereum. Blockchain très rapide, frais de transaction faibles, pour DeFi, NFT, applications scalables.</t>
  </si>
  <si>
    <t>Cardano</t>
  </si>
  <si>
    <t>ADA</t>
  </si>
  <si>
    <t>Blockchain sur la recherche académique, la sécuritél, a durabilité. Objectif plus écologique.</t>
  </si>
  <si>
    <t>Avalanche</t>
  </si>
  <si>
    <t>AVAX</t>
  </si>
  <si>
    <t>smart contracts ; concurrent d'Ethereum</t>
  </si>
  <si>
    <t>Polkadot</t>
  </si>
  <si>
    <t>DOT</t>
  </si>
  <si>
    <t>Vise à connecter plusieurs blockchains différentes (publiques ou privées) dans un seul écosystème. Infrastructure d’interopérabilité</t>
  </si>
  <si>
    <t>Dogecoin</t>
  </si>
  <si>
    <t>DOGE</t>
  </si>
  <si>
    <t>Initialement un “meme coin”  mais une large communauté. Forte popularité, usage pour les petites transactions.</t>
  </si>
  <si>
    <t>Transactions ultra-rapides, concurrent ETH.</t>
  </si>
  <si>
    <t>Tron</t>
  </si>
  <si>
    <t>TRX</t>
  </si>
  <si>
    <t>DeFi, utilisée pour stablecoins USDT ; réseau rapide et peu coûteux.</t>
  </si>
  <si>
    <t>Cosmos</t>
  </si>
  <si>
    <t>ATOM</t>
  </si>
  <si>
    <t>Interopérabilité de blockchains ; concurrence directe de Polkadot.</t>
  </si>
  <si>
    <t>Datum</t>
  </si>
  <si>
    <t>Glassnode</t>
  </si>
  <si>
    <t>Dapps</t>
  </si>
  <si>
    <t>Analytics, payant</t>
  </si>
  <si>
    <t>IntoTheBlock</t>
  </si>
  <si>
    <t>Analytics, données de marché</t>
  </si>
  <si>
    <t>Dune Analytics</t>
  </si>
  <si>
    <t>Plateforme d’analyse open data on-chain (SQL-like), dashboard</t>
  </si>
  <si>
    <t>Nansen</t>
  </si>
  <si>
    <t>Tracking de wallets</t>
  </si>
  <si>
    <t>Total Value Lock</t>
  </si>
  <si>
    <t>KPI</t>
  </si>
  <si>
    <t>TLV</t>
  </si>
  <si>
    <t>La valeur détenu sur un réseau, indicateur de sa vitalité</t>
  </si>
  <si>
    <t>Market Cap</t>
  </si>
  <si>
    <t>Mesure de la valeur totale d'une monnaire digitale = prix courant x quantité en circulation</t>
  </si>
  <si>
    <t>Supply monitoring</t>
  </si>
  <si>
    <t>Price-to-sell ratio</t>
  </si>
  <si>
    <t>Assets transaction volumes</t>
  </si>
  <si>
    <t>MetaMask</t>
  </si>
  <si>
    <t>Digital wallet</t>
  </si>
  <si>
    <t>Fibonacci Retracement</t>
  </si>
  <si>
    <t>Ichimoku Kinko Hyo</t>
  </si>
  <si>
    <t>Alpaca</t>
  </si>
  <si>
    <t xml:space="preserve"> API for Stock, Options, and Crypto Trading </t>
  </si>
  <si>
    <t>Decrypt</t>
  </si>
  <si>
    <t>Veille</t>
  </si>
  <si>
    <t>https://decrypt.co/
Site d'information généraliste sur le Web3, les crypto et la finance décentralisée</t>
  </si>
  <si>
    <t>Cointelegraph</t>
  </si>
  <si>
    <r>
      <rPr>
        <color rgb="FF434343"/>
        <u/>
      </rPr>
      <t xml:space="preserve">https://cointelegraph.com/
</t>
    </r>
    <r>
      <rPr>
        <color rgb="FF000000"/>
        <u/>
      </rPr>
      <t xml:space="preserve"> Site d'information généraliste sur la techno blockchain, les crypto et la finance décentralisée</t>
    </r>
  </si>
  <si>
    <t>CoinGecko</t>
  </si>
  <si>
    <t>https://www.coingecko.com/
Crypto data aggregator ; suivi des marchés avec des API pour analyses techniques, trading, AI agents... . API payantes.</t>
  </si>
  <si>
    <t>AMF</t>
  </si>
  <si>
    <t>Règlementation</t>
  </si>
  <si>
    <t>https://www.amf-france.org/fr/actualites-publications/la-une</t>
  </si>
  <si>
    <t>EU Blockchain Observatory</t>
  </si>
  <si>
    <t>Veille, Règlementation</t>
  </si>
  <si>
    <r>
      <rPr>
        <color rgb="FF434343"/>
        <u/>
      </rPr>
      <t>https://blockchain-observatory.ec.europa.eu/index_en</t>
    </r>
    <r>
      <rPr>
        <color rgb="FF000000"/>
      </rPr>
      <t xml:space="preserve"> 
Site de la COmmission européene sur l'actualité des crypto et des technologies de la blochcain, et sur la règlementation dans l'UE</t>
    </r>
    <r>
      <rPr>
        <color rgb="FF434343"/>
        <u/>
      </rPr>
      <t xml:space="preserve">
</t>
    </r>
  </si>
  <si>
    <t>ESMA</t>
  </si>
  <si>
    <r>
      <rPr/>
      <t xml:space="preserve">European Securities and Market Authorities 
</t>
    </r>
    <r>
      <rPr>
        <color rgb="FF1155CC"/>
        <u/>
      </rPr>
      <t>https://www.esma.europa.eu/press-news/esma-news</t>
    </r>
  </si>
  <si>
    <t>SEC</t>
  </si>
  <si>
    <r>
      <rPr/>
      <t xml:space="preserve">Securities and Exchange Commission, section  Cyber, Crypto Assets and Emerging Technology 
https://www.sec.gov/about/divisions-offices/division-enforcement/cyber-crypto-assets-emerging-technology?utm_source=chatgpt.com
</t>
    </r>
    <r>
      <rPr>
        <color rgb="FF1155CC"/>
        <u/>
      </rPr>
      <t>https://www.sec.gov/about/crypto-task-force</t>
    </r>
  </si>
  <si>
    <t>https://www.sec.gov/</t>
  </si>
  <si>
    <t>Phoenix News</t>
  </si>
  <si>
    <r>
      <rPr>
        <color rgb="FF434343"/>
        <u/>
      </rPr>
      <t xml:space="preserve">https://phoenixnews.io/ 
</t>
    </r>
    <r>
      <rPr>
        <color rgb="FF000000"/>
      </rPr>
      <t xml:space="preserve"> Aggrégateurs de news en temps réel en provenance d'environ 1500 srces : médias, blogs, US Gov, réseaux sociaux, exchanges</t>
    </r>
    <r>
      <rPr>
        <color rgb="FF434343"/>
        <u/>
      </rPr>
      <t xml:space="preserve">
</t>
    </r>
    <r>
      <rPr/>
      <t xml:space="preserve"> Terminal de trading
API </t>
    </r>
  </si>
  <si>
    <t>Cryptorank</t>
  </si>
  <si>
    <r>
      <rPr>
        <color rgb="FF434343"/>
        <u/>
      </rPr>
      <t>cryptorank.io</t>
    </r>
    <r>
      <rPr>
        <color rgb="FF000000"/>
        <u/>
      </rPr>
      <t xml:space="preserve">, API accessible pour récupérer les data 
API : </t>
    </r>
    <r>
      <rPr>
        <color rgb="FF1155CC"/>
        <u/>
      </rPr>
      <t>https://api.cryptorank.io/v2/docs</t>
    </r>
  </si>
  <si>
    <t>Altfins</t>
  </si>
  <si>
    <t>Concurrent</t>
  </si>
  <si>
    <r>
      <rPr>
        <color rgb="FF434343"/>
        <u/>
      </rPr>
      <t xml:space="preserve">altfins.com
</t>
    </r>
    <r>
      <rPr>
        <color rgb="FF000000"/>
      </rPr>
      <t xml:space="preserve"> Trading analytics platform : data, news, insight, trading
API : </t>
    </r>
    <r>
      <rPr/>
      <t xml:space="preserve">https://altfins.com/crypto-market-and-analytical-data-api/
API : </t>
    </r>
    <r>
      <rPr>
        <color rgb="FF1155CC"/>
        <u/>
      </rPr>
      <t>https://altfins.com/technical-analysis-api/</t>
    </r>
  </si>
  <si>
    <t>CryptoQuant</t>
  </si>
  <si>
    <r>
      <rPr>
        <color rgb="FF434343"/>
        <u/>
      </rPr>
      <t xml:space="preserve">cryptoquant.com
</t>
    </r>
    <r>
      <rPr>
        <color rgb="FF000000"/>
      </rPr>
      <t xml:space="preserve">Plateforme d'analytics et d'outils pour prise de décision en trading sur les marchés crypto
API : </t>
    </r>
    <r>
      <rPr>
        <color rgb="FF1155CC"/>
        <u/>
      </rPr>
      <t>https://cryptoquant.com/docs</t>
    </r>
  </si>
  <si>
    <t>Alphractal</t>
  </si>
  <si>
    <r>
      <rPr>
        <color rgb="FF434343"/>
        <u/>
      </rPr>
      <t xml:space="preserve">alphractal.com
</t>
    </r>
    <r>
      <rPr>
        <color rgb="FF000000"/>
      </rPr>
      <t xml:space="preserve"> Plateforme d'analytics et d'outils de trading sur les marchés crypto. 
API : </t>
    </r>
    <r>
      <rPr>
        <color rgb="FF1155CC"/>
        <u/>
      </rPr>
      <t>https://api.alphractal.com/ui</t>
    </r>
  </si>
  <si>
    <t>Quantify Crypto</t>
  </si>
  <si>
    <r>
      <rPr>
        <color rgb="FF434343"/>
        <u/>
      </rPr>
      <t xml:space="preserve">quantifycrypto.com
 </t>
    </r>
    <r>
      <rPr>
        <color rgb="FF000000"/>
        <u/>
      </rPr>
      <t xml:space="preserve">  Plateforme d'analytics et data viz (heatmap sur les valeurs crypto...) pour le trading
API : </t>
    </r>
    <r>
      <rPr>
        <color rgb="FF1155CC"/>
        <u/>
      </rPr>
      <t>https://quantifycrypto.com/api</t>
    </r>
  </si>
  <si>
    <t>Altrady</t>
  </si>
  <si>
    <r>
      <rPr>
        <color rgb="FF434343"/>
        <u/>
      </rPr>
      <t xml:space="preserve">altrady.com
</t>
    </r>
    <r>
      <rPr>
        <color rgb="FF000000"/>
      </rPr>
      <t xml:space="preserve">Plateforme de trading en cryptomonnaire multibourses, data viz et analytics
Paper trading : </t>
    </r>
    <r>
      <rPr>
        <color rgb="FF1155CC"/>
        <u/>
      </rPr>
      <t>https://www.altrady.com/features/paper-trading</t>
    </r>
  </si>
  <si>
    <t>3commas.io</t>
  </si>
  <si>
    <r>
      <rPr>
        <color rgb="FF434343"/>
        <u/>
      </rPr>
      <t xml:space="preserve">3commas.io
 </t>
    </r>
    <r>
      <rPr>
        <color rgb="FF000000"/>
      </rPr>
      <t xml:space="preserve"> Plateforme de trading bots . Un acès gratuit en Paper trading mode disponible.
Plateforme d'API : </t>
    </r>
    <r>
      <rPr>
        <color rgb="FF1155CC"/>
        <u/>
      </rPr>
      <t>https://developers.3commas.io/</t>
    </r>
  </si>
  <si>
    <t>Tickeron</t>
  </si>
  <si>
    <r>
      <rPr>
        <color rgb="FF434343"/>
        <u/>
      </rPr>
      <t xml:space="preserve">tickeron.com
</t>
    </r>
    <r>
      <rPr>
        <color rgb="FF000000"/>
      </rPr>
      <t xml:space="preserve"> Plateforme de trading généraliste, crypto et finance tradi. Paper trading dispo.</t>
    </r>
  </si>
  <si>
    <t>Santiment</t>
  </si>
  <si>
    <r>
      <rPr>
        <color rgb="FF434343"/>
        <u/>
      </rPr>
      <t xml:space="preserve">santiment.net
</t>
    </r>
    <r>
      <rPr>
        <color rgb="FF000000"/>
        <u/>
      </rPr>
      <t xml:space="preserve">Plateforme d'analytics, data et sentiment de marché pour trading sur les crypto.
API dispo : </t>
    </r>
    <r>
      <rPr>
        <color rgb="FF1155CC"/>
        <u/>
      </rPr>
      <t>https://api.santiment.net/</t>
    </r>
  </si>
  <si>
    <r>
      <rPr>
        <color rgb="FF434343"/>
        <u/>
      </rPr>
      <t xml:space="preserve">dune.com
</t>
    </r>
    <r>
      <rPr>
        <color rgb="FF000000"/>
      </rPr>
      <t xml:space="preserve">Plateforme data et analytics
API : </t>
    </r>
    <r>
      <rPr>
        <color rgb="FF1155CC"/>
        <u/>
      </rPr>
      <t>https://docs.dune.com/api-reference/overview/introduction</t>
    </r>
  </si>
  <si>
    <t>GlassnodeStudio</t>
  </si>
  <si>
    <r>
      <rPr>
        <color rgb="FF434343"/>
        <u/>
      </rPr>
      <t xml:space="preserve">glassnode.com
API : </t>
    </r>
    <r>
      <rPr>
        <color rgb="FF1155CC"/>
        <u/>
      </rPr>
      <t>https://docs.glassnode.com/basic-api/api</t>
    </r>
  </si>
  <si>
    <t>Cryptoast - Prof Chaine</t>
  </si>
  <si>
    <t>Chaine YouTude</t>
  </si>
  <si>
    <t>Cryptoast - Vincent Ganne</t>
  </si>
  <si>
    <t>Wave Trading</t>
  </si>
  <si>
    <t>Underground Trading</t>
  </si>
  <si>
    <t>MICA</t>
  </si>
  <si>
    <t>Markets in Crypto-Assets</t>
  </si>
  <si>
    <t>Arnaud Touati</t>
  </si>
  <si>
    <t>Avocat</t>
  </si>
  <si>
    <t>Investir Day 25/11/2025</t>
  </si>
  <si>
    <t>SALON</t>
  </si>
  <si>
    <t>Salon pour rencontrer des profesionnels</t>
  </si>
  <si>
    <t>RGPD</t>
  </si>
  <si>
    <t>MiFID &amp; MiFID 2</t>
  </si>
  <si>
    <t>EXTRACT</t>
  </si>
  <si>
    <t>LOAD</t>
  </si>
  <si>
    <t>TRANSFORM</t>
  </si>
  <si>
    <t xml:space="preserve">Sources externes :
- API (HTTP, REST, Websocket)
- HTML
Outils :
Python (requests, BeautifulSoup)                                 
Output :
Données brutes stockées </t>
  </si>
  <si>
    <t>- Nettoyage
- Normalisation
- Enrichissement
Outils : 
Python (pandas, numpy)
Output :
Données structurées et validées stockées</t>
  </si>
  <si>
    <t>- Insertion dans PostgreSQ
- Envoi vers MLflow
- Alimentation de dashboads (visualisation)
Outils : 
- MLflow, Dash 
Output :
Données disponibles pour analyse, visualisation et machine learning</t>
  </si>
  <si>
    <t>Category</t>
  </si>
  <si>
    <t>Comments</t>
  </si>
  <si>
    <t>Decentralisation</t>
  </si>
  <si>
    <t>Strength</t>
  </si>
  <si>
    <t>Réduit voire élimine la dépendance aux décisions et aux manquements d'une entité centrale ; assure une plus grande transparence</t>
  </si>
  <si>
    <t>Security</t>
  </si>
  <si>
    <t>In code we trust... la cryptograhpie de la blockchain est hautement sécurisée, immuable, transparente et trustless</t>
  </si>
  <si>
    <t>Innovation</t>
  </si>
  <si>
    <t>Opportunity</t>
  </si>
  <si>
    <t xml:space="preserve">Ecosystème en plein essor, très dynamique et favorisant la création de produits innovants </t>
  </si>
  <si>
    <t>Inclusion</t>
  </si>
  <si>
    <t>Contourne les barrières à l'entrée dans les systèmes bancaire, assuranciel et financier traditionnels pour les populations qui en sont exclues. Participe à une globalisation économique et financière.</t>
  </si>
  <si>
    <t>Volatility</t>
  </si>
  <si>
    <t>Opportunity, Threat</t>
  </si>
  <si>
    <t>Bcp de mon. digitales sont très volatiles, marquées par des fluctuations importantes et dangereuses pour les investisseurs.
Cependant, cela crée aussi des opportunités importantes de gains et participe aux dynamisme de la création de nouveaux produits crypto et du trading.</t>
  </si>
  <si>
    <t>Scalability</t>
  </si>
  <si>
    <t>Weakness</t>
  </si>
  <si>
    <t>La technologie blockchain est immuable. Le revers de cette stabilité est la difficulté à corriger les erreurs, modifier le code pour s'adapter aux changements.
Fortement consommatrice en énergie et en puissance de calcul.</t>
  </si>
  <si>
    <t>Regulation</t>
  </si>
  <si>
    <t>Absence de régulation claire et unifiée ; représente un risque pour les participants qui ne peuvent pas s'appuyer sur des textes de loi pour se protéger en cas de problème.</t>
  </si>
  <si>
    <t>Perception</t>
  </si>
  <si>
    <t>Weakness, Opportunity</t>
  </si>
  <si>
    <t>Comme souvent dans les grandes innovations, une partie de l'opinion réagit avec méfiance voire hostilité. Les cryptos sont marquées à la fois par une complexité technologique apparente qui les rend difficiles d'accès pour les populations non technophiles, et par un caractère innovant pouvant être perçu comme menaçant par les acteurs de la finance traditionnelle et  les autorités étatiques, qui sont centralisés par essence.</t>
  </si>
  <si>
    <t>Global</t>
  </si>
  <si>
    <t>Transactions mondiales facilitées en éliminant les barrières entre les systèmes bancaires</t>
  </si>
  <si>
    <t>Blockchain Technology</t>
  </si>
  <si>
    <t>Strength, Opportunity</t>
  </si>
  <si>
    <t>La technologie blockchain permet de multiples usages dans tous les domaines et offre ainsi des nombreuses opportunités : art, gaming, entertainment, finance, santé...</t>
  </si>
  <si>
    <t>Institutionnal adoption</t>
  </si>
  <si>
    <t>Les institutions tradionnelles et les États ont amorcé un mouvement pour adopté les technologies de la blockchain et les cryptos, ce qui aura sûrement pour conséquence d'en faciliter l'adoption et les développement par le plus grand nombre, et une stabilisation du secteur.</t>
  </si>
  <si>
    <t>Competition</t>
  </si>
  <si>
    <t>Threat</t>
  </si>
  <si>
    <t>Compétition très intense avec nbreux acteurs ; il est difficile de prédire quand et comment se fera la consolidation autour des acteurs leaders</t>
  </si>
  <si>
    <t>Hacking / Scam</t>
  </si>
  <si>
    <t>Malgré la robustesse de la technologies blockchain, les produits liés aux crypto comme les wallet, les DaApps ou encore les DAO comportent encore des failles qui ont été par le passé exploitées par les pirates. Les crypto sont un environnements jeunes et en construction, avec ce que cela implique comme risque d'escroqueries.</t>
  </si>
  <si>
    <t>Kick off</t>
  </si>
  <si>
    <t>Discovery et préparation projet</t>
  </si>
  <si>
    <t>Cahier des charges</t>
  </si>
  <si>
    <t>MVP</t>
  </si>
  <si>
    <t>Schéma de la BDD et pipeline</t>
  </si>
  <si>
    <t>Intégration des algo de ML/DL</t>
  </si>
  <si>
    <t>Création de l’API</t>
  </si>
  <si>
    <t>Déploiement automatisé</t>
  </si>
  <si>
    <t>Rapport et Soutenance</t>
  </si>
  <si>
    <t>Mois</t>
  </si>
  <si>
    <t>Sprint</t>
  </si>
  <si>
    <t>Phase du projet</t>
  </si>
  <si>
    <t>Thème</t>
  </si>
  <si>
    <t>Epics</t>
  </si>
  <si>
    <t>User stories</t>
  </si>
  <si>
    <t>Ressources techniques impliquées</t>
  </si>
  <si>
    <t>Novembre</t>
  </si>
  <si>
    <t>DevOps &amp; Environnement</t>
  </si>
  <si>
    <t>Infrastructure et CI/CD</t>
  </si>
  <si>
    <t>Epic 1 : Environnement technique stable</t>
  </si>
  <si>
    <t>- Tech : un environnement Docker fonctionnel pour déployer rapidement les services
- Tech : automatiser le déploiement avec Jenkins et GitHub Actions
- Tech : versionner le code et les notebooks ML sur GitHub</t>
  </si>
  <si>
    <t>Docker, Jenkinsfile, repo Git, Github Actions</t>
  </si>
  <si>
    <t>Décembre</t>
  </si>
  <si>
    <t>Collecte &amp; intégration des données (API)</t>
  </si>
  <si>
    <t>Données externes</t>
  </si>
  <si>
    <t>Epic 2 : Connexion aux APIs (CoinGecko, CoinMarketCap, PhoenixNews, etc.)</t>
  </si>
  <si>
    <t>-  Noah : je veux que les données de prix, volume et sentiment soient collectées automatiquement
- Sarah : je veux récupérer les communiqués des institutions et les actualités crypto fiables
- Aleksandar : je veux pouvoir poser des questions sur les données collectées</t>
  </si>
  <si>
    <t>Connecteurs API (python requests), APIs, script ETL</t>
  </si>
  <si>
    <t>Structuration de la base de données</t>
  </si>
  <si>
    <t>Architecture Data</t>
  </si>
  <si>
    <t>Epic 3 : Conception du modèle de données</t>
  </si>
  <si>
    <t>- Tech : modèle pour stocker les données : prix, news, signaux et utilisateurs</t>
  </si>
  <si>
    <t>Schématisation BDD (diagramme MCD/MLD), création BDD PostgreSQL</t>
  </si>
  <si>
    <t>Janvier</t>
  </si>
  <si>
    <t>Normalisation &amp; nettoyage des données</t>
  </si>
  <si>
    <t>Pipeline ETL &amp; Qualité</t>
  </si>
  <si>
    <t>Epic 4 : Nettoyage et uniformisation des données</t>
  </si>
  <si>
    <t>- Sarah : sources fiables, détection fake news
- Noah : indicateurs on-chain et de sentiment soient cohérents</t>
  </si>
  <si>
    <t>Pipeline ETL, AIrflow, pandas</t>
  </si>
  <si>
    <t>Module analytique et indicateurs clés</t>
  </si>
  <si>
    <t>Analyse de marché</t>
  </si>
  <si>
    <t>Epic 5 : Génération de KPIs et signaux de marché</t>
  </si>
  <si>
    <t>- Noah : alerte quand plusieurs signaux convergent (prix, sentiment, on-chain)
- Sarah :  visualiser la tendance d’une crypto sur plusieurs périodes
- Aleksandar : pourquoi un signal est positif ou négatif</t>
  </si>
  <si>
    <t>Pandas, NumPy, scikit-learn (préprocessing, clustering...), Matplotlib / Plotly pour visualisations, MLflow (tracking KPIs)</t>
  </si>
  <si>
    <t>Février - mars</t>
  </si>
  <si>
    <t>Moteur d’apprentissage et scoring</t>
  </si>
  <si>
    <t>Machine Learning &amp; Reinforcement Learning</t>
  </si>
  <si>
    <t>Epic 6 : Modèles prédictifs et scoring de signaux</t>
  </si>
  <si>
    <t>- Noah : un système qui apprend quels signaux ont fonctionné par le passé
- Sarah : estimation de la fiabilité des sources d’info
- Aleksandar : explications claires sur les prédictions, vulgarisation</t>
  </si>
  <si>
    <t>scikit-learn (régression, RandomForest, GradientBoosting...), MLflow (tracking et versioning modèles), notebooks Jupyter, SARSA, Monte Carlo, Q-learning...</t>
  </si>
  <si>
    <t>Avril</t>
  </si>
  <si>
    <t>Interface utilisateur v1 (Dashboard)</t>
  </si>
  <si>
    <t>Visualisation &amp; UX</t>
  </si>
  <si>
    <t>Epic 7 : Interface unifiée</t>
  </si>
  <si>
    <t>- Noa :  dashboard combinant bougies, news, sentiment
- Sarah : graphiques exportables pour mes articles
- Aleksandar : une vue de mon portefeuille et des signaux d’achat/vente</t>
  </si>
  <si>
    <t>Streamlit / FastAPI, Plotly, FastAPI, connexion à PostgreSQL</t>
  </si>
  <si>
    <t>Mai</t>
  </si>
  <si>
    <t>Tests &amp; CI/CD finalisation</t>
  </si>
  <si>
    <t>Qualité &amp; automatisation</t>
  </si>
  <si>
    <t>Epic 9 : Stratégie de tests &amp; automatisation</t>
  </si>
  <si>
    <t>- Tech : automatiser les tests unitaires, d’intégration et de performance</t>
  </si>
  <si>
    <t>pytest, Jenkins, Docker Compose,</t>
  </si>
  <si>
    <t>Déploiement</t>
  </si>
  <si>
    <t>Amélioration continue</t>
  </si>
  <si>
    <t>Epic 10 : Mise en production, Monitoring</t>
  </si>
  <si>
    <t>Kubernetes, MLflow</t>
  </si>
  <si>
    <t>Interface utilisateur v2 (optionnelle) : Alerte &amp; Interaction (chatbot / notifications)</t>
  </si>
  <si>
    <t>Interaction &amp; Personnalisation</t>
  </si>
  <si>
    <t>Epic 8 : Système d’alertes &amp; Chatbot</t>
  </si>
  <si>
    <t>- Noah : recevoir des alertes
- Sarah : alerte dès qu’un mot-clé ou acteur spécifique est mentionné
- Aleksandar :  poser des questions simples au chatbot</t>
  </si>
  <si>
    <t>FastAPI, OpenAI API</t>
  </si>
  <si>
    <t>Nom de l'API</t>
  </si>
  <si>
    <t>URL</t>
  </si>
  <si>
    <t>Usage</t>
  </si>
  <si>
    <t>Features</t>
  </si>
  <si>
    <t>Gratuité</t>
  </si>
  <si>
    <t>Binance Spot Trading</t>
  </si>
  <si>
    <t>https://developers.binance.com/docs/binance-spot-api-docs/README</t>
  </si>
  <si>
    <t>Trading</t>
  </si>
  <si>
    <t>Binance Algo Trading</t>
  </si>
  <si>
    <t>https://developers.binance.com/docs/algo</t>
  </si>
  <si>
    <t>Binance Websocket API</t>
  </si>
  <si>
    <t>https://developers.binance.com/docs/binance-spot-api-docs/web-socket-streams</t>
  </si>
  <si>
    <t>Coinbase Trade API</t>
  </si>
  <si>
    <t>https://docs.cdp.coinbase.com/trade-api/welcome</t>
  </si>
  <si>
    <t>AI-driven trading agents: Real-time, policy-constrained execution with sub-500ms latency—no hot keys, no custom infra</t>
  </si>
  <si>
    <t>Kraken Trading API</t>
  </si>
  <si>
    <t>https://docs.kraken.com/api/docs/category/rest-api/trading</t>
  </si>
  <si>
    <t>OKX Market Datat</t>
  </si>
  <si>
    <t>https://www.okx.com/docs-v5/en/#order-book-trading-market-data</t>
  </si>
  <si>
    <t>OKX Public Data</t>
  </si>
  <si>
    <t>https://www.okx.com/docs-v5/en/#public-data</t>
  </si>
  <si>
    <t>https://docs.coingecko.com/</t>
  </si>
  <si>
    <t>payant pour les news</t>
  </si>
  <si>
    <t>https://api.cryptorank.io/v2/docs</t>
  </si>
  <si>
    <t>phoenixnews</t>
  </si>
  <si>
    <t>https://docs.phoenixnews.io/</t>
  </si>
  <si>
    <t>Crypto</t>
  </si>
  <si>
    <t>% d'identification</t>
  </si>
  <si>
    <t>Binance Coin</t>
  </si>
  <si>
    <t>Rank</t>
  </si>
  <si>
    <t>Exchange</t>
  </si>
  <si>
    <t>Median Daily Volume</t>
  </si>
  <si>
    <t>Coins Offered</t>
  </si>
  <si>
    <t>Median Daily Vol. (Mds $)</t>
  </si>
  <si>
    <t>Crypto.com Exchange</t>
  </si>
  <si>
    <t>Gate</t>
  </si>
  <si>
    <t>MEXC</t>
  </si>
  <si>
    <t>Coinbase Exchange</t>
  </si>
  <si>
    <t>HTX</t>
  </si>
  <si>
    <t>Bitget</t>
  </si>
  <si>
    <t>Upbit</t>
  </si>
  <si>
    <t>Feature</t>
  </si>
  <si>
    <t>Description</t>
  </si>
  <si>
    <t>Veille actu &amp; marché</t>
  </si>
  <si>
    <t>Collecte et aggrégation par webscrapping, API</t>
  </si>
  <si>
    <t>Choix d’un portefeuille de valeurs évolutif</t>
  </si>
  <si>
    <t>Possibilité de créer une liste de crypto monnaies à suivre, et de modifier cette liste</t>
  </si>
  <si>
    <t>Suivi des cours des crypto</t>
  </si>
  <si>
    <t>Connexion aux API pour récupérer les cours en temps réel</t>
  </si>
  <si>
    <t>Dashboard de suivi du portefeuille</t>
  </si>
  <si>
    <t>Une page qui rassemble de la data visualisation, des news et autre analytics à définir</t>
  </si>
  <si>
    <t>Analytics</t>
  </si>
  <si>
    <t>Mettre en place les analytics pertinents (par crypto, sur les exchanges, autres KPIs...)</t>
  </si>
  <si>
    <t>Modélisation et algorithme de machine learning</t>
  </si>
  <si>
    <t xml:space="preserve">Deux pistes à explorer : 
 - prédiction 
 - Détection de pattern </t>
  </si>
  <si>
    <t>Passage d'ordre en paper trading pour simuler le trading</t>
  </si>
  <si>
    <t>Monitoring</t>
  </si>
  <si>
    <t>- Suivi de performance du trading
- Suivi des flux de data
- autre...</t>
  </si>
  <si>
    <t>Composant</t>
  </si>
  <si>
    <t>Langage principal</t>
  </si>
  <si>
    <t xml:space="preserve">Python </t>
  </si>
  <si>
    <t>Back-end, moteur d’analyse, machine learning</t>
  </si>
  <si>
    <t>Collecte de données</t>
  </si>
  <si>
    <t>requests, BeautifulSoup</t>
  </si>
  <si>
    <t>Scraping et récupération actu &amp; marché</t>
  </si>
  <si>
    <t>Connexion API Crypto</t>
  </si>
  <si>
    <t xml:space="preserve">requests, python-binance </t>
  </si>
  <si>
    <r>
      <rPr/>
      <t xml:space="preserve">Explorer </t>
    </r>
    <r>
      <rPr>
        <color rgb="FF1155CC"/>
        <u/>
      </rPr>
      <t xml:space="preserve">https://python-binance.readthedocs.io/en/latest/
</t>
    </r>
    <r>
      <rPr/>
      <t>Pour interaction avec Binance</t>
    </r>
  </si>
  <si>
    <t>Text Mining</t>
  </si>
  <si>
    <t>scikit-learn : CountVectorizer et TD-IDF avec algo bags of words</t>
  </si>
  <si>
    <t>Analyse textuelle, analyse de sentiment</t>
  </si>
  <si>
    <t>Machine Learning</t>
  </si>
  <si>
    <t>scikit-learn</t>
  </si>
  <si>
    <t>Régression, classification, clustering</t>
  </si>
  <si>
    <t>Pandas / NumPy</t>
  </si>
  <si>
    <t>Analyse exploratoire des données</t>
  </si>
  <si>
    <t>TensorFlow / PyTorch</t>
  </si>
  <si>
    <t>Deep learning</t>
  </si>
  <si>
    <t>MLFlow</t>
  </si>
  <si>
    <t>Tester les stratégies ML, gestion des versions, reproductibilité, déploiement</t>
  </si>
  <si>
    <t>Reinforcement Learning</t>
  </si>
  <si>
    <t>Monte Carlo, SARSA, Q-learning</t>
  </si>
  <si>
    <t>Pour automatisation de passage d'ordres BUY/SELL/HOLD en paper trading</t>
  </si>
  <si>
    <t>API</t>
  </si>
  <si>
    <t>FastAPI</t>
  </si>
  <si>
    <t>création de l'API</t>
  </si>
  <si>
    <t>Back-end</t>
  </si>
  <si>
    <t>PostgreSQL</t>
  </si>
  <si>
    <t>BDD pour les données structurée : valeurs, signaux, utilisateurs...</t>
  </si>
  <si>
    <t>MongoDB</t>
  </si>
  <si>
    <t>BDD pour les données non structurées : news, text mining...</t>
  </si>
  <si>
    <t>pydantic</t>
  </si>
  <si>
    <t>Pour controle des données entrantes et des classes python</t>
  </si>
  <si>
    <t>Front-end</t>
  </si>
  <si>
    <t>Streamlit, Shiny for Python</t>
  </si>
  <si>
    <t>interface utilisateur, Streamlit est simple et efficace mais limité ; étudier si Shiny est possible</t>
  </si>
  <si>
    <t>Matplotlib / Seaborn / Plotly</t>
  </si>
  <si>
    <t>Data visualisation : graphiques, analytics, heatmaps</t>
  </si>
  <si>
    <t>Infrastructure / Déploiement</t>
  </si>
  <si>
    <t>Docker / Docker Compose</t>
  </si>
  <si>
    <t>Conteneurisation des services</t>
  </si>
  <si>
    <t>GitHub / GitHub Actions</t>
  </si>
  <si>
    <t>Gestion de version, collaboratif, CI/CD</t>
  </si>
  <si>
    <t>dotenv (.env)</t>
  </si>
  <si>
    <t>Gestion sécurisée des clés API et variables d'environnement</t>
  </si>
  <si>
    <t>Tests / Monitoring</t>
  </si>
  <si>
    <t>pytest</t>
  </si>
  <si>
    <t>Tests unitaires et d’intégration.</t>
  </si>
  <si>
    <t>Profil</t>
  </si>
  <si>
    <t>TJM</t>
  </si>
  <si>
    <t>Phase projet</t>
  </si>
  <si>
    <t>Charge Data Engineer (en jours)</t>
  </si>
  <si>
    <t>Coût (€)</t>
  </si>
  <si>
    <t>Charge Data Scientist (en jours)</t>
  </si>
  <si>
    <t>Coût (€) 2</t>
  </si>
  <si>
    <t>Descritpion</t>
  </si>
  <si>
    <t>Data engineer</t>
  </si>
  <si>
    <t>Collecte &amp; intégration des données</t>
  </si>
  <si>
    <t>Création des pipelines, intégration API, scraping, stockage des données</t>
  </si>
  <si>
    <t>Data Data Scientist</t>
  </si>
  <si>
    <t>Nettoyage, transformation &amp; stockage</t>
  </si>
  <si>
    <t>ETL, structuration des données, preprocessing pour exploration</t>
  </si>
  <si>
    <t>Analyse exploratoire &amp; modélisation</t>
  </si>
  <si>
    <t>Analyse eploratoire des données, création d’indicateurs, modélisation (machine learning...), tests</t>
  </si>
  <si>
    <t>Automatisation &amp; industrialisation</t>
  </si>
  <si>
    <t>Déploiement pipelines, création API interne, intégration des modèles</t>
  </si>
  <si>
    <t>Monitoring &amp; maintenance</t>
  </si>
  <si>
    <t>Supervision des flux et logs, debugging, ajustement des modèles et indicateurs</t>
  </si>
  <si>
    <t>Total</t>
  </si>
  <si>
    <t>Autres postes de dépenses potentiels</t>
  </si>
  <si>
    <t>Coûts(€)</t>
  </si>
  <si>
    <t>Stockage Cloud</t>
  </si>
  <si>
    <t>API tierces Premium</t>
  </si>
  <si>
    <t xml:space="preserve">Serveur pour calcul intensif (reinforcement learning) </t>
  </si>
  <si>
    <t>Maintenance long terme</t>
  </si>
  <si>
    <t>BUDGET TOTAL ESTIMÉ</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</si>
</sst>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d/mm/yyyy"/>
    <numFmt numFmtId="165" formatCode="mmmm yyyy"/>
    <numFmt numFmtId="166" formatCode="[$$]#,##0"/>
    <numFmt numFmtId="167" formatCode="#,##0\ [$€-1]"/>
  </numFmts>
  <fonts count="14">
    <font>
      <sz val="10.0"/>
      <color rgb="FF000000"/>
      <name val="Arial"/>
      <scheme val="minor"/>
    </font>
    <font>
      <color theme="1"/>
      <name val="Arial"/>
      <scheme val="minor"/>
    </font>
    <font>
      <b/>
      <color theme="1"/>
      <name val="Arial"/>
      <scheme val="minor"/>
    </font>
    <font>
      <u/>
      <color rgb="FF434343"/>
      <name val="Roboto"/>
    </font>
    <font>
      <u/>
      <color rgb="FF0000FF"/>
      <name val="Roboto"/>
    </font>
    <font>
      <color rgb="FF000000"/>
      <name val="Arial"/>
      <scheme val="minor"/>
    </font>
    <font>
      <b/>
      <sz val="11.0"/>
      <color rgb="FF353744"/>
      <name val="'Proxima Nova'"/>
    </font>
    <font>
      <sz val="11.0"/>
      <color rgb="FF353744"/>
      <name val="'Proxima Nova'"/>
    </font>
    <font>
      <u/>
      <color rgb="FF0000FF"/>
      <name val="Roboto"/>
    </font>
    <font>
      <u/>
      <color rgb="FF0000FF"/>
      <name val="Roboto"/>
    </font>
    <font>
      <u/>
      <color rgb="FF0000FF"/>
      <name val="Roboto"/>
    </font>
    <font>
      <u/>
      <color rgb="FF0000FF"/>
      <name val="Roboto"/>
    </font>
    <font>
      <b/>
      <color theme="0"/>
      <name val="Arial"/>
      <scheme val="minor"/>
    </font>
    <font>
      <b/>
      <color rgb="FFFFFFFF"/>
      <name val="Arial"/>
      <scheme val="minor"/>
    </font>
  </fonts>
  <fills count="6">
    <fill>
      <patternFill patternType="none"/>
    </fill>
    <fill>
      <patternFill patternType="lightGray"/>
    </fill>
    <fill>
      <patternFill patternType="solid">
        <fgColor rgb="FFD9D9D9"/>
        <bgColor rgb="FFD9D9D9"/>
      </patternFill>
    </fill>
    <fill>
      <patternFill patternType="solid">
        <fgColor rgb="FFCCCCCC"/>
        <bgColor rgb="FFCCCCCC"/>
      </patternFill>
    </fill>
    <fill>
      <patternFill patternType="solid">
        <fgColor theme="1"/>
        <bgColor theme="1"/>
      </patternFill>
    </fill>
    <fill>
      <patternFill patternType="solid">
        <fgColor rgb="FF000000"/>
        <bgColor rgb="FF000000"/>
      </patternFill>
    </fill>
  </fills>
  <borders count="7">
    <border/>
    <border>
      <left style="thin">
        <color rgb="FF000000"/>
      </left>
      <right style="thin">
        <color rgb="FF000000"/>
      </right>
    </border>
    <border>
      <bottom style="thin">
        <color rgb="FF000000"/>
      </bottom>
    </border>
    <border>
      <left style="thin">
        <color rgb="FF000000"/>
      </left>
      <right style="thin">
        <color rgb="FF000000"/>
      </right>
      <bottom style="thin">
        <color rgb="FF000000"/>
      </bottom>
    </border>
    <border>
      <top style="thin">
        <color rgb="FF000000"/>
      </top>
      <bottom style="thin">
        <color rgb="FF000000"/>
      </bottom>
    </border>
    <border>
      <top style="thin">
        <color rgb="FF000000"/>
      </top>
    </border>
    <border>
      <left style="thin">
        <color rgb="FF000000"/>
      </left>
    </border>
  </borders>
  <cellStyleXfs count="1">
    <xf borderId="0" fillId="0" fontId="0" numFmtId="0" applyAlignment="1" applyFont="1"/>
  </cellStyleXfs>
  <cellXfs count="69">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2" numFmtId="49" xfId="0" applyAlignment="1" applyFont="1" applyNumberFormat="1">
      <alignment horizontal="left" readingOrder="0" shrinkToFit="0" vertical="center" wrapText="0"/>
    </xf>
    <xf borderId="0" fillId="0" fontId="2" numFmtId="0" xfId="0" applyAlignment="1" applyFont="1">
      <alignment horizontal="center" readingOrder="0" shrinkToFit="0" vertical="center" wrapText="0"/>
    </xf>
    <xf borderId="0" fillId="0" fontId="1" numFmtId="0" xfId="0" applyAlignment="1" applyFont="1">
      <alignment vertical="center"/>
    </xf>
    <xf borderId="0" fillId="0" fontId="1" numFmtId="0" xfId="0" applyAlignment="1" applyFont="1">
      <alignment horizontal="left" readingOrder="0" shrinkToFit="0" vertical="center" wrapText="0"/>
    </xf>
    <xf borderId="0" fillId="0" fontId="1" numFmtId="0" xfId="0" applyAlignment="1" applyFont="1">
      <alignment readingOrder="0" shrinkToFit="0" vertical="center" wrapText="0"/>
    </xf>
    <xf borderId="0" fillId="0" fontId="1" numFmtId="0" xfId="0" applyAlignment="1" applyFont="1">
      <alignment horizontal="left" readingOrder="0" shrinkToFit="0" vertical="top" wrapText="0"/>
    </xf>
    <xf borderId="0" fillId="0" fontId="1" numFmtId="0" xfId="0" applyAlignment="1" applyFont="1">
      <alignment readingOrder="0" shrinkToFit="0" vertical="center" wrapText="0"/>
    </xf>
    <xf borderId="0" fillId="0" fontId="1" numFmtId="0" xfId="0" applyAlignment="1" applyFont="1">
      <alignment horizontal="left" readingOrder="0" shrinkToFit="0" vertical="top" wrapText="1"/>
    </xf>
    <xf borderId="0" fillId="0" fontId="1" numFmtId="0" xfId="0" applyAlignment="1" applyFont="1">
      <alignment horizontal="left" shrinkToFit="0" vertical="top"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3" numFmtId="0" xfId="0" applyAlignment="1" applyFont="1">
      <alignment readingOrder="0" shrinkToFit="0" vertical="center" wrapText="0"/>
    </xf>
    <xf borderId="0" fillId="0" fontId="4" numFmtId="0" xfId="0" applyAlignment="1" applyFont="1">
      <alignment readingOrder="0" shrinkToFit="0" vertical="center" wrapText="0"/>
    </xf>
    <xf borderId="0" fillId="0" fontId="1" numFmtId="0" xfId="0" applyAlignment="1" applyFont="1">
      <alignment readingOrder="0" shrinkToFit="0" vertical="center" wrapText="0"/>
    </xf>
    <xf borderId="0" fillId="0" fontId="5" numFmtId="0" xfId="0" applyAlignment="1" applyFont="1">
      <alignment readingOrder="0" shrinkToFit="0" vertical="center" wrapText="0"/>
    </xf>
    <xf borderId="1" fillId="0" fontId="1" numFmtId="0" xfId="0" applyAlignment="1" applyBorder="1" applyFont="1">
      <alignment horizontal="left" readingOrder="0" shrinkToFit="0" vertical="top" wrapText="0"/>
    </xf>
    <xf borderId="0" fillId="0" fontId="1" numFmtId="0" xfId="0" applyAlignment="1" applyFont="1">
      <alignment readingOrder="0" shrinkToFit="0" vertical="top" wrapText="1"/>
    </xf>
    <xf borderId="2" fillId="2" fontId="6" numFmtId="164" xfId="0" applyAlignment="1" applyBorder="1" applyFill="1" applyFont="1" applyNumberFormat="1">
      <alignment horizontal="center" readingOrder="0" shrinkToFit="0" wrapText="1"/>
    </xf>
    <xf borderId="3" fillId="2" fontId="6" numFmtId="165" xfId="0" applyAlignment="1" applyBorder="1" applyFont="1" applyNumberFormat="1">
      <alignment horizontal="center" readingOrder="0" shrinkToFit="0" wrapText="1"/>
    </xf>
    <xf borderId="2" fillId="2" fontId="6" numFmtId="165" xfId="0" applyAlignment="1" applyBorder="1" applyFont="1" applyNumberFormat="1">
      <alignment horizontal="center" readingOrder="0" shrinkToFit="0" wrapText="1"/>
    </xf>
    <xf borderId="0" fillId="0" fontId="7" numFmtId="0" xfId="0" applyAlignment="1" applyFont="1">
      <alignment horizontal="center" readingOrder="0" shrinkToFit="0" wrapText="1"/>
    </xf>
    <xf borderId="1" fillId="0" fontId="7" numFmtId="0" xfId="0" applyAlignment="1" applyBorder="1" applyFont="1">
      <alignment horizontal="center" readingOrder="0" shrinkToFit="0" wrapText="1"/>
    </xf>
    <xf borderId="0" fillId="0" fontId="1" numFmtId="49" xfId="0" applyAlignment="1" applyFont="1" applyNumberFormat="1">
      <alignment horizontal="left" readingOrder="0" shrinkToFit="0" vertical="center" wrapText="0"/>
    </xf>
    <xf borderId="2" fillId="0" fontId="2" numFmtId="0" xfId="0" applyAlignment="1" applyBorder="1" applyFont="1">
      <alignment horizontal="center" readingOrder="0" shrinkToFit="0" vertical="center" wrapText="1"/>
    </xf>
    <xf borderId="2" fillId="0" fontId="1" numFmtId="0" xfId="0" applyAlignment="1" applyBorder="1" applyFont="1">
      <alignment horizontal="center" readingOrder="0" shrinkToFit="0" vertical="center" wrapText="1"/>
    </xf>
    <xf borderId="2" fillId="0" fontId="1" numFmtId="0" xfId="0" applyAlignment="1" applyBorder="1" applyFont="1">
      <alignment readingOrder="0" shrinkToFit="0" vertical="center" wrapText="1"/>
    </xf>
    <xf borderId="0" fillId="0" fontId="2" numFmtId="0" xfId="0" applyAlignment="1" applyFont="1">
      <alignment horizontal="center" readingOrder="0" shrinkToFit="0" vertical="center" wrapText="1"/>
    </xf>
    <xf borderId="0" fillId="0" fontId="1" numFmtId="0" xfId="0" applyAlignment="1" applyFont="1">
      <alignment horizontal="center" readingOrder="0" shrinkToFit="0" vertical="center" wrapText="1"/>
    </xf>
    <xf borderId="0" fillId="0" fontId="1" numFmtId="0" xfId="0" applyAlignment="1" applyFont="1">
      <alignment readingOrder="0" shrinkToFit="0" vertical="center" wrapText="1"/>
    </xf>
    <xf borderId="2" fillId="0" fontId="1" numFmtId="0" xfId="0" applyAlignment="1" applyBorder="1" applyFont="1">
      <alignment readingOrder="0" shrinkToFit="0" vertical="center" wrapText="0"/>
    </xf>
    <xf borderId="0" fillId="0" fontId="1" numFmtId="0" xfId="0" applyAlignment="1" applyFont="1">
      <alignment horizontal="left" readingOrder="0" shrinkToFit="0" vertical="center" wrapText="0"/>
    </xf>
    <xf borderId="0" fillId="0" fontId="8" numFmtId="0" xfId="0" applyAlignment="1" applyFont="1">
      <alignment readingOrder="0" shrinkToFit="0" vertical="center" wrapText="0"/>
    </xf>
    <xf borderId="0" fillId="0" fontId="9" numFmtId="0" xfId="0" applyAlignment="1" applyFont="1">
      <alignment readingOrder="0" shrinkToFit="0" vertical="center" wrapText="0"/>
    </xf>
    <xf borderId="0" fillId="0" fontId="10" numFmtId="0" xfId="0" applyAlignment="1" applyFont="1">
      <alignment readingOrder="0" shrinkToFit="0" vertical="center" wrapText="0"/>
    </xf>
    <xf borderId="0" fillId="0" fontId="1" numFmtId="9" xfId="0" applyAlignment="1" applyFont="1" applyNumberFormat="1">
      <alignment readingOrder="0" shrinkToFit="0" vertical="center" wrapText="0"/>
    </xf>
    <xf borderId="0" fillId="0" fontId="2" numFmtId="0" xfId="0" applyFont="1"/>
    <xf borderId="0" fillId="0" fontId="2" numFmtId="0" xfId="0" applyAlignment="1" applyFont="1">
      <alignment horizontal="center" readingOrder="0" shrinkToFit="0" vertical="center" wrapText="0"/>
    </xf>
    <xf borderId="0" fillId="0" fontId="1" numFmtId="0" xfId="0" applyAlignment="1" applyFont="1">
      <alignment readingOrder="0" shrinkToFit="0" vertical="center" wrapText="0"/>
    </xf>
    <xf borderId="0" fillId="0" fontId="1" numFmtId="166" xfId="0" applyAlignment="1" applyFont="1" applyNumberFormat="1">
      <alignment readingOrder="0" shrinkToFit="0" vertical="center" wrapText="0"/>
    </xf>
    <xf borderId="0" fillId="0" fontId="1" numFmtId="4" xfId="0" applyAlignment="1" applyFont="1" applyNumberFormat="1">
      <alignment readingOrder="0" shrinkToFit="0" vertical="center" wrapText="0"/>
    </xf>
    <xf borderId="0" fillId="3" fontId="6" numFmtId="0" xfId="0" applyAlignment="1" applyFill="1" applyFont="1">
      <alignment readingOrder="0"/>
    </xf>
    <xf borderId="0" fillId="3" fontId="2" numFmtId="0" xfId="0" applyAlignment="1" applyFont="1">
      <alignment readingOrder="0"/>
    </xf>
    <xf borderId="0" fillId="0" fontId="7" numFmtId="0" xfId="0" applyAlignment="1" applyFont="1">
      <alignment readingOrder="0" vertical="center"/>
    </xf>
    <xf borderId="0" fillId="0" fontId="1" numFmtId="0" xfId="0" applyAlignment="1" applyFont="1">
      <alignment readingOrder="0" vertical="top"/>
    </xf>
    <xf borderId="4" fillId="0" fontId="7" numFmtId="0" xfId="0" applyAlignment="1" applyBorder="1" applyFont="1">
      <alignment readingOrder="0" vertical="center"/>
    </xf>
    <xf borderId="4" fillId="0" fontId="1" numFmtId="0" xfId="0" applyAlignment="1" applyBorder="1" applyFont="1">
      <alignment readingOrder="0" vertical="top"/>
    </xf>
    <xf borderId="5" fillId="0" fontId="7" numFmtId="0" xfId="0" applyAlignment="1" applyBorder="1" applyFont="1">
      <alignment readingOrder="0" vertical="center"/>
    </xf>
    <xf borderId="5" fillId="0" fontId="1" numFmtId="0" xfId="0" applyAlignment="1" applyBorder="1" applyFont="1">
      <alignment readingOrder="0" vertical="top"/>
    </xf>
    <xf borderId="0" fillId="0" fontId="1" numFmtId="0" xfId="0" applyAlignment="1" applyFont="1">
      <alignment readingOrder="0" shrinkToFit="0" vertical="center" wrapText="1"/>
    </xf>
    <xf borderId="0" fillId="0" fontId="11" numFmtId="0" xfId="0" applyAlignment="1" applyFont="1">
      <alignment readingOrder="0" shrinkToFit="0" vertical="center" wrapText="1"/>
    </xf>
    <xf borderId="0" fillId="0" fontId="1" numFmtId="0" xfId="0" applyAlignment="1" applyFont="1">
      <alignment readingOrder="0" shrinkToFit="0" vertical="center" wrapText="1"/>
    </xf>
    <xf borderId="0" fillId="0" fontId="1" numFmtId="0" xfId="0" applyAlignment="1" applyFont="1">
      <alignment horizontal="left" readingOrder="0" shrinkToFit="0" vertical="center" wrapText="1"/>
    </xf>
    <xf borderId="6" fillId="0" fontId="1" numFmtId="0" xfId="0" applyAlignment="1" applyBorder="1" applyFont="1">
      <alignment horizontal="left" readingOrder="0" shrinkToFit="0" vertical="center" wrapText="1"/>
    </xf>
    <xf borderId="0" fillId="0" fontId="1" numFmtId="0" xfId="0" applyAlignment="1" applyFont="1">
      <alignment horizontal="center" readingOrder="0" shrinkToFit="0" vertical="center" wrapText="1"/>
    </xf>
    <xf borderId="0" fillId="0" fontId="1" numFmtId="167" xfId="0" applyAlignment="1" applyFont="1" applyNumberFormat="1">
      <alignment readingOrder="0" shrinkToFit="0" vertical="center" wrapText="0"/>
    </xf>
    <xf borderId="6" fillId="0" fontId="1" numFmtId="0" xfId="0" applyAlignment="1" applyBorder="1" applyFont="1">
      <alignment readingOrder="0" shrinkToFit="0" vertical="center" wrapText="1"/>
    </xf>
    <xf borderId="0" fillId="0" fontId="1" numFmtId="167" xfId="0" applyAlignment="1" applyFont="1" applyNumberFormat="1">
      <alignment shrinkToFit="0" vertical="center" wrapText="1"/>
    </xf>
    <xf borderId="0" fillId="4" fontId="12" numFmtId="0" xfId="0" applyAlignment="1" applyFill="1" applyFont="1">
      <alignment readingOrder="0" shrinkToFit="0" vertical="center" wrapText="0"/>
    </xf>
    <xf borderId="6" fillId="4" fontId="12" numFmtId="0" xfId="0" applyAlignment="1" applyBorder="1" applyFont="1">
      <alignment shrinkToFit="0" vertical="center" wrapText="0"/>
    </xf>
    <xf borderId="0" fillId="4" fontId="12" numFmtId="167" xfId="0" applyAlignment="1" applyFont="1" applyNumberFormat="1">
      <alignment shrinkToFit="0" vertical="center" wrapText="0"/>
    </xf>
    <xf borderId="0" fillId="0" fontId="1" numFmtId="167" xfId="0" applyAlignment="1" applyFont="1" applyNumberFormat="1">
      <alignment readingOrder="0" shrinkToFit="0" vertical="center" wrapText="0"/>
    </xf>
    <xf borderId="0" fillId="5" fontId="13" numFmtId="0" xfId="0" applyAlignment="1" applyFill="1" applyFont="1">
      <alignment readingOrder="0" shrinkToFit="0" vertical="center" wrapText="0"/>
    </xf>
    <xf borderId="0" fillId="5" fontId="13" numFmtId="167" xfId="0" applyAlignment="1" applyFont="1" applyNumberFormat="1">
      <alignment shrinkToFit="0" vertical="center" wrapText="0"/>
    </xf>
    <xf borderId="0" fillId="5" fontId="13" numFmtId="0" xfId="0" applyAlignment="1" applyFont="1">
      <alignment readingOrder="0"/>
    </xf>
    <xf borderId="0" fillId="5" fontId="13" numFmtId="167" xfId="0" applyFont="1" applyNumberFormat="1"/>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1">
    <tableStyle count="4" pivot="0" name="Discovery-style">
      <tableStyleElement dxfId="1" type="headerRow"/>
      <tableStyleElement dxfId="2" type="firstRowStripe"/>
      <tableStyleElement dxfId="3" type="secondRowStripe"/>
      <tableStyleElement dxfId="4" size="0" type="wholeTable"/>
    </tableStyle>
    <tableStyle count="4" pivot="0" name="Schéma ETL baqsique-style">
      <tableStyleElement dxfId="1" type="headerRow"/>
      <tableStyleElement dxfId="2" type="firstRowStripe"/>
      <tableStyleElement dxfId="3" type="secondRowStripe"/>
      <tableStyleElement dxfId="4" size="0" type="wholeTable"/>
    </tableStyle>
    <tableStyle count="4" pivot="0" name="prepa_swot-style">
      <tableStyleElement dxfId="1" type="headerRow"/>
      <tableStyleElement dxfId="2" type="firstRowStripe"/>
      <tableStyleElement dxfId="3" type="secondRowStripe"/>
      <tableStyleElement dxfId="4" size="0" type="wholeTable"/>
    </tableStyle>
    <tableStyle count="4" pivot="0" name="Roadmap_technique-style">
      <tableStyleElement dxfId="1" type="headerRow"/>
      <tableStyleElement dxfId="2" type="firstRowStripe"/>
      <tableStyleElement dxfId="3" type="secondRowStripe"/>
      <tableStyleElement dxfId="4" size="0" type="wholeTable"/>
    </tableStyle>
    <tableStyle count="4" pivot="0" name="APIs-style">
      <tableStyleElement dxfId="1" type="headerRow"/>
      <tableStyleElement dxfId="2" type="firstRowStripe"/>
      <tableStyleElement dxfId="3" type="secondRowStripe"/>
      <tableStyleElement dxfId="4" size="0" type="wholeTable"/>
    </tableStyle>
    <tableStyle count="4" pivot="0" name="Data secteur cryptoDFI-style">
      <tableStyleElement dxfId="1" type="headerRow"/>
      <tableStyleElement dxfId="2" type="firstRowStripe"/>
      <tableStyleElement dxfId="3" type="secondRowStripe"/>
      <tableStyleElement dxfId="4" size="0" type="wholeTable"/>
    </tableStyle>
    <tableStyle count="4" pivot="0" name="Data secteur cryptoDFI-style 2">
      <tableStyleElement dxfId="1" type="headerRow"/>
      <tableStyleElement dxfId="2" type="firstRowStripe"/>
      <tableStyleElement dxfId="3" type="secondRowStripe"/>
      <tableStyleElement dxfId="4" size="0" type="wholeTable"/>
    </tableStyle>
    <tableStyle count="4" pivot="0" name="Stack_technique-style">
      <tableStyleElement dxfId="1" type="headerRow"/>
      <tableStyleElement dxfId="2" type="firstRowStripe"/>
      <tableStyleElement dxfId="3" type="secondRowStripe"/>
      <tableStyleElement dxfId="4" size="0" type="wholeTable"/>
    </tableStyle>
    <tableStyle count="4" pivot="0" name="Budget-style">
      <tableStyleElement dxfId="1" type="headerRow"/>
      <tableStyleElement dxfId="2" type="firstRowStripe"/>
      <tableStyleElement dxfId="3" type="secondRowStripe"/>
      <tableStyleElement dxfId="4" size="0" type="wholeTable"/>
    </tableStyle>
    <tableStyle count="4" pivot="0" name="Budget-style 2">
      <tableStyleElement dxfId="1" type="headerRow"/>
      <tableStyleElement dxfId="2" type="firstRowStripe"/>
      <tableStyleElement dxfId="3" type="secondRowStripe"/>
      <tableStyleElement dxfId="4" size="0" type="wholeTable"/>
    </tableStyle>
    <tableStyle count="4" pivot="0" name="Budget-style 3">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Bitcoin is the best known cryptocurrency</a:t>
            </a:r>
          </a:p>
        </c:rich>
      </c:tx>
      <c:overlay val="0"/>
    </c:title>
    <c:plotArea>
      <c:layout/>
      <c:barChart>
        <c:barDir val="col"/>
        <c:ser>
          <c:idx val="0"/>
          <c:order val="0"/>
          <c:tx>
            <c:strRef>
              <c:f>'Data secteur cryptoDFI'!$B$1</c:f>
            </c:strRef>
          </c:tx>
          <c:spPr>
            <a:solidFill>
              <a:srgbClr val="38761D"/>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'Data secteur cryptoDFI'!$A$2:$A$9</c:f>
            </c:strRef>
          </c:cat>
          <c:val>
            <c:numRef>
              <c:f>'Data secteur cryptoDFI'!$B$2:$B$9</c:f>
              <c:numCache/>
            </c:numRef>
          </c:val>
        </c:ser>
        <c:axId val="223533056"/>
        <c:axId val="1154341807"/>
      </c:barChart>
      <c:catAx>
        <c:axId val="22353305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154341807"/>
      </c:catAx>
      <c:valAx>
        <c:axId val="1154341807"/>
        <c:scaling>
          <c:orientation val="minMax"/>
        </c:scaling>
        <c:delete val="0"/>
        <c:axPos val="l"/>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23533056"/>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The largest crypto exchanges by trading volume in 2025</a:t>
            </a:r>
          </a:p>
        </c:rich>
      </c:tx>
      <c:overlay val="0"/>
    </c:title>
    <c:plotArea>
      <c:layout/>
      <c:barChart>
        <c:barDir val="col"/>
        <c:ser>
          <c:idx val="0"/>
          <c:order val="0"/>
          <c:tx>
            <c:strRef>
              <c:f>'Data secteur cryptoDFI'!$E$24</c:f>
            </c:strRef>
          </c:tx>
          <c:spPr>
            <a:solidFill>
              <a:srgbClr val="38761D"/>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'Data secteur cryptoDFI'!$B$25:$B$34</c:f>
            </c:strRef>
          </c:cat>
          <c:val>
            <c:numRef>
              <c:f>'Data secteur cryptoDFI'!$E$25:$E$34</c:f>
              <c:numCache/>
            </c:numRef>
          </c:val>
        </c:ser>
        <c:axId val="1412957421"/>
        <c:axId val="1982206729"/>
      </c:barChart>
      <c:catAx>
        <c:axId val="141295742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982206729"/>
      </c:catAx>
      <c:valAx>
        <c:axId val="1982206729"/>
        <c:scaling>
          <c:orientation val="minMax"/>
        </c:scaling>
        <c:delete val="0"/>
        <c:axPos val="l"/>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12957421"/>
      </c:valAx>
      <c:lineChart>
        <c:varyColors val="0"/>
        <c:ser>
          <c:idx val="1"/>
          <c:order val="1"/>
          <c:tx>
            <c:strRef>
              <c:f>'Data secteur cryptoDFI'!$D$24</c:f>
            </c:strRef>
          </c:tx>
          <c:spPr>
            <a:ln cmpd="sng" w="19050">
              <a:solidFill>
                <a:srgbClr val="990000">
                  <a:alpha val="100000"/>
                </a:srgbClr>
              </a:solidFill>
              <a:prstDash val="dash"/>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'Data secteur cryptoDFI'!$B$25:$B$34</c:f>
            </c:strRef>
          </c:cat>
          <c:val>
            <c:numRef>
              <c:f>'Data secteur cryptoDFI'!$D$25:$D$34</c:f>
              <c:numCache/>
            </c:numRef>
          </c:val>
          <c:smooth val="0"/>
        </c:ser>
        <c:axId val="1155645805"/>
        <c:axId val="337139604"/>
      </c:lineChart>
      <c:catAx>
        <c:axId val="1155645805"/>
        <c:scaling>
          <c:orientation val="minMax"/>
        </c:scaling>
        <c:delete val="1"/>
        <c:axPos val="b"/>
        <c:numFmt formatCode="General" sourceLinked="1"/>
        <c:majorTickMark val="none"/>
        <c:minorTickMark val="none"/>
        <c:spPr/>
        <c:txPr>
          <a:bodyPr/>
          <a:lstStyle/>
          <a:p>
            <a:pPr lvl="0">
              <a:defRPr b="0">
                <a:solidFill>
                  <a:srgbClr val="000000"/>
                </a:solidFill>
                <a:latin typeface="+mn-lt"/>
              </a:defRPr>
            </a:pPr>
          </a:p>
        </c:txPr>
        <c:crossAx val="337139604"/>
      </c:catAx>
      <c:valAx>
        <c:axId val="337139604"/>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55645805"/>
        <c:crosses val="max"/>
      </c:valAx>
    </c:plotArea>
    <c:legend>
      <c:legendPos val="r"/>
      <c:overlay val="0"/>
      <c:txPr>
        <a:bodyPr/>
        <a:lstStyle/>
        <a:p>
          <a:pPr lvl="0">
            <a:defRPr b="0">
              <a:solidFill>
                <a:srgbClr val="1A1A1A"/>
              </a:solidFill>
              <a:latin typeface="+mn-lt"/>
            </a:defRPr>
          </a:pPr>
        </a:p>
      </c:txPr>
    </c:legend>
    <c:plotVisOnly val="1"/>
  </c:chart>
</c:chartSpace>
</file>

<file path=xl/drawings/_rels/drawing7.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676275</xdr:colOff>
      <xdr:row>0</xdr:row>
      <xdr:rowOff>95250</xdr:rowOff>
    </xdr:from>
    <xdr:ext cx="5715000" cy="3533775"/>
    <xdr:graphicFrame>
      <xdr:nvGraphicFramePr>
        <xdr:cNvPr id="1" name="Chart 1" title="Graphique"/>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5</xdr:col>
      <xdr:colOff>771525</xdr:colOff>
      <xdr:row>21</xdr:row>
      <xdr:rowOff>38100</xdr:rowOff>
    </xdr:from>
    <xdr:ext cx="7153275" cy="4429125"/>
    <xdr:graphicFrame>
      <xdr:nvGraphicFramePr>
        <xdr:cNvPr id="2" name="Chart 2" title="Graphique"/>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E69" displayName="Tableau1" name="Tableau1" id="1">
  <autoFilter ref="$A$1:$E$69">
    <filterColumn colId="1">
      <filters>
        <filter val="Veille, Règlementation"/>
        <filter val="Veille"/>
      </filters>
    </filterColumn>
  </autoFilter>
  <tableColumns count="5">
    <tableColumn name="items" id="1"/>
    <tableColumn name="Catégorie" id="2"/>
    <tableColumn name="Acronyme" id="3"/>
    <tableColumn name="API_x000a_(O/N)" id="4"/>
    <tableColumn name="Description/Commentaire" id="5"/>
  </tableColumns>
  <tableStyleInfo name="Discovery-style" showColumnStripes="0" showFirstColumn="1" showLastColumn="1" showRowStripes="1"/>
</table>
</file>

<file path=xl/tables/table2.xml><?xml version="1.0" encoding="utf-8"?>
<table xmlns="http://schemas.openxmlformats.org/spreadsheetml/2006/main" ref="A1:C2" displayName="Tableau11" name="Tableau11" id="2">
  <tableColumns count="3">
    <tableColumn name="EXTRACT" id="1"/>
    <tableColumn name="LOAD" id="2"/>
    <tableColumn name="TRANSFORM" id="3"/>
  </tableColumns>
  <tableStyleInfo name="Schéma ETL baqsique-style" showColumnStripes="0" showFirstColumn="1" showLastColumn="1" showRowStripes="1"/>
</table>
</file>

<file path=xl/tables/table3.xml><?xml version="1.0" encoding="utf-8"?>
<table xmlns="http://schemas.openxmlformats.org/spreadsheetml/2006/main" ref="A1:C14" displayName="Tableau2" name="Tableau2" id="3">
  <tableColumns count="3">
    <tableColumn name="items" id="1"/>
    <tableColumn name="Category" id="2"/>
    <tableColumn name="Comments" id="3"/>
  </tableColumns>
  <tableStyleInfo name="prepa_swot-style" showColumnStripes="0" showFirstColumn="1" showLastColumn="1" showRowStripes="1"/>
</table>
</file>

<file path=xl/tables/table4.xml><?xml version="1.0" encoding="utf-8"?>
<table xmlns="http://schemas.openxmlformats.org/spreadsheetml/2006/main" ref="A1:G11" displayName="Tableau10" name="Tableau10" id="4">
  <tableColumns count="7">
    <tableColumn name="Mois" id="1"/>
    <tableColumn name="Sprint" id="2"/>
    <tableColumn name="Phase du projet" id="3"/>
    <tableColumn name="Thème" id="4"/>
    <tableColumn name="Epics" id="5"/>
    <tableColumn name="User stories" id="6"/>
    <tableColumn name="Ressources techniques impliquées" id="7"/>
  </tableColumns>
  <tableStyleInfo name="Roadmap_technique-style" showColumnStripes="0" showFirstColumn="1" showLastColumn="1" showRowStripes="1"/>
</table>
</file>

<file path=xl/tables/table5.xml><?xml version="1.0" encoding="utf-8"?>
<table xmlns="http://schemas.openxmlformats.org/spreadsheetml/2006/main" ref="A1:E11" displayName="Tableau6" name="Tableau6" id="5">
  <tableColumns count="5">
    <tableColumn name="Nom de l'API" id="1"/>
    <tableColumn name="URL" id="2"/>
    <tableColumn name="Usage" id="3"/>
    <tableColumn name="Features" id="4"/>
    <tableColumn name="Gratuité" id="5"/>
  </tableColumns>
  <tableStyleInfo name="APIs-style" showColumnStripes="0" showFirstColumn="1" showLastColumn="1" showRowStripes="1"/>
</table>
</file>

<file path=xl/tables/table6.xml><?xml version="1.0" encoding="utf-8"?>
<table xmlns="http://schemas.openxmlformats.org/spreadsheetml/2006/main" ref="A1:B9" displayName="Tableau4" name="Tableau4" id="6">
  <tableColumns count="2">
    <tableColumn name="Crypto" id="1"/>
    <tableColumn name="% d'identification" id="2"/>
  </tableColumns>
  <tableStyleInfo name="Data secteur cryptoDFI-style" showColumnStripes="0" showFirstColumn="1" showLastColumn="1" showRowStripes="1"/>
</table>
</file>

<file path=xl/tables/table7.xml><?xml version="1.0" encoding="utf-8"?>
<table xmlns="http://schemas.openxmlformats.org/spreadsheetml/2006/main" ref="A24:E34" displayName="Tableau3" name="Tableau3" id="7">
  <tableColumns count="5">
    <tableColumn name="Rank" id="1"/>
    <tableColumn name="Exchange" id="2"/>
    <tableColumn name="Median Daily Volume" id="3"/>
    <tableColumn name="Coins Offered" id="4"/>
    <tableColumn name="Median Daily Vol. (Mds $)" id="5"/>
  </tableColumns>
  <tableStyleInfo name="Data secteur cryptoDFI-style 2" showColumnStripes="0" showFirstColumn="1" showLastColumn="1" showRowStripes="1"/>
</table>
</file>

<file path=xl/tables/table8.xml><?xml version="1.0" encoding="utf-8"?>
<table xmlns="http://schemas.openxmlformats.org/spreadsheetml/2006/main" ref="A1:C20" displayName="Tableau5" name="Tableau5" id="8">
  <tableColumns count="3">
    <tableColumn name="Composant" id="1"/>
    <tableColumn name="Technologie" id="2"/>
    <tableColumn name="Description" id="3"/>
  </tableColumns>
  <tableStyleInfo name="Stack_technique-style" showColumnStripes="0" showFirstColumn="1" showLastColumn="1" showRowStripes="1"/>
</table>
</file>

<file path=xl/tables/table9.xml><?xml version="1.0" encoding="utf-8"?>
<table xmlns="http://schemas.openxmlformats.org/spreadsheetml/2006/main" ref="A1:B3" displayName="Tableau7" name="Tableau7" id="9">
  <tableColumns count="2">
    <tableColumn name="Profil" id="1"/>
    <tableColumn name="TJM" id="2"/>
  </tableColumns>
  <tableStyleInfo name="Budget-style" showColumnStripes="0" showFirstColumn="1" showLastColumn="1" showRowStripes="1"/>
</table>
</file>

<file path=xl/tables/table10.xml><?xml version="1.0" encoding="utf-8"?>
<table xmlns="http://schemas.openxmlformats.org/spreadsheetml/2006/main" ref="E1:J7" displayName="Tableau8" name="Tableau8" id="10">
  <tableColumns count="6">
    <tableColumn name="Phase projet" id="1"/>
    <tableColumn name="Charge Data Engineer (en jours)" id="2"/>
    <tableColumn name="Coût (€)" id="3"/>
    <tableColumn name="Charge Data Scientist (en jours)" id="4"/>
    <tableColumn name="Coût (€) 2" id="5"/>
    <tableColumn name="Descritpion" id="6"/>
  </tableColumns>
  <tableStyleInfo name="Budget-style 2" showColumnStripes="0" showFirstColumn="1" showLastColumn="1" showRowStripes="1"/>
</table>
</file>

<file path=xl/tables/table11.xml><?xml version="1.0" encoding="utf-8"?>
<table xmlns="http://schemas.openxmlformats.org/spreadsheetml/2006/main" ref="E10:F15" displayName="Tableau9" name="Tableau9" id="11">
  <tableColumns count="2">
    <tableColumn name="Autres postes de dépenses potentiels" id="1"/>
    <tableColumn name="Coûts(€)" id="2"/>
  </tableColumns>
  <tableStyleInfo name="Budget-style 3"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drawing" Target="../drawings/drawing1.xml"/><Relationship Id="rId11" Type="http://schemas.openxmlformats.org/officeDocument/2006/relationships/hyperlink" Target="http://alphractal.com/" TargetMode="External"/><Relationship Id="rId22" Type="http://schemas.openxmlformats.org/officeDocument/2006/relationships/table" Target="../tables/table1.xml"/><Relationship Id="rId10" Type="http://schemas.openxmlformats.org/officeDocument/2006/relationships/hyperlink" Target="http://cryptoquant.com/" TargetMode="External"/><Relationship Id="rId13" Type="http://schemas.openxmlformats.org/officeDocument/2006/relationships/hyperlink" Target="http://altrady.com/" TargetMode="External"/><Relationship Id="rId12" Type="http://schemas.openxmlformats.org/officeDocument/2006/relationships/hyperlink" Target="http://quantifycrypto.com/" TargetMode="External"/><Relationship Id="rId1" Type="http://schemas.openxmlformats.org/officeDocument/2006/relationships/hyperlink" Target="https://cointelegraph.com/" TargetMode="External"/><Relationship Id="rId2" Type="http://schemas.openxmlformats.org/officeDocument/2006/relationships/hyperlink" Target="https://www.amf-france.org/fr/actualites-publications/la-une" TargetMode="External"/><Relationship Id="rId3" Type="http://schemas.openxmlformats.org/officeDocument/2006/relationships/hyperlink" Target="https://blockchain-observatory.ec.europa.eu/index_en" TargetMode="External"/><Relationship Id="rId4" Type="http://schemas.openxmlformats.org/officeDocument/2006/relationships/hyperlink" Target="https://www.esma.europa.eu/press-news/esma-news" TargetMode="External"/><Relationship Id="rId9" Type="http://schemas.openxmlformats.org/officeDocument/2006/relationships/hyperlink" Target="http://altfins.com/" TargetMode="External"/><Relationship Id="rId15" Type="http://schemas.openxmlformats.org/officeDocument/2006/relationships/hyperlink" Target="http://3commas.io/" TargetMode="External"/><Relationship Id="rId14" Type="http://schemas.openxmlformats.org/officeDocument/2006/relationships/hyperlink" Target="http://3commas.io/" TargetMode="External"/><Relationship Id="rId17" Type="http://schemas.openxmlformats.org/officeDocument/2006/relationships/hyperlink" Target="http://santiment.net/" TargetMode="External"/><Relationship Id="rId16" Type="http://schemas.openxmlformats.org/officeDocument/2006/relationships/hyperlink" Target="http://tickeron.com/" TargetMode="External"/><Relationship Id="rId5" Type="http://schemas.openxmlformats.org/officeDocument/2006/relationships/hyperlink" Target="https://www.sec.gov/about/crypto-task-force" TargetMode="External"/><Relationship Id="rId19" Type="http://schemas.openxmlformats.org/officeDocument/2006/relationships/hyperlink" Target="http://glassnode.com/" TargetMode="External"/><Relationship Id="rId6" Type="http://schemas.openxmlformats.org/officeDocument/2006/relationships/hyperlink" Target="https://www.sec.gov/" TargetMode="External"/><Relationship Id="rId18" Type="http://schemas.openxmlformats.org/officeDocument/2006/relationships/hyperlink" Target="http://dune.com/" TargetMode="External"/><Relationship Id="rId7" Type="http://schemas.openxmlformats.org/officeDocument/2006/relationships/hyperlink" Target="https://phoenixnews.io/" TargetMode="External"/><Relationship Id="rId8" Type="http://schemas.openxmlformats.org/officeDocument/2006/relationships/hyperlink" Target="http://cryptorank.io/"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1" Type="http://schemas.openxmlformats.org/officeDocument/2006/relationships/drawing" Target="../drawings/drawing6.xml"/><Relationship Id="rId10" Type="http://schemas.openxmlformats.org/officeDocument/2006/relationships/hyperlink" Target="https://docs.phoenixnews.io/" TargetMode="External"/><Relationship Id="rId13" Type="http://schemas.openxmlformats.org/officeDocument/2006/relationships/table" Target="../tables/table5.xml"/><Relationship Id="rId1" Type="http://schemas.openxmlformats.org/officeDocument/2006/relationships/hyperlink" Target="https://developers.binance.com/docs/binance-spot-api-docs/README" TargetMode="External"/><Relationship Id="rId2" Type="http://schemas.openxmlformats.org/officeDocument/2006/relationships/hyperlink" Target="https://developers.binance.com/docs/algo" TargetMode="External"/><Relationship Id="rId3" Type="http://schemas.openxmlformats.org/officeDocument/2006/relationships/hyperlink" Target="https://developers.binance.com/docs/binance-spot-api-docs/web-socket-streams" TargetMode="External"/><Relationship Id="rId4" Type="http://schemas.openxmlformats.org/officeDocument/2006/relationships/hyperlink" Target="https://docs.cdp.coinbase.com/trade-api/welcome" TargetMode="External"/><Relationship Id="rId9" Type="http://schemas.openxmlformats.org/officeDocument/2006/relationships/hyperlink" Target="https://api.cryptorank.io/v2/docs" TargetMode="External"/><Relationship Id="rId5" Type="http://schemas.openxmlformats.org/officeDocument/2006/relationships/hyperlink" Target="https://docs.kraken.com/api/docs/category/rest-api/trading" TargetMode="External"/><Relationship Id="rId6" Type="http://schemas.openxmlformats.org/officeDocument/2006/relationships/hyperlink" Target="https://www.okx.com/docs-v5/en/" TargetMode="External"/><Relationship Id="rId7" Type="http://schemas.openxmlformats.org/officeDocument/2006/relationships/hyperlink" Target="https://www.okx.com/docs-v5/en/" TargetMode="External"/><Relationship Id="rId8" Type="http://schemas.openxmlformats.org/officeDocument/2006/relationships/hyperlink" Target="https://docs.coingecko.com/"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4" Type="http://schemas.openxmlformats.org/officeDocument/2006/relationships/table" Target="../tables/table6.xml"/><Relationship Id="rId5"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python-binance.readthedocs.io/en/latest/" TargetMode="External"/><Relationship Id="rId2" Type="http://schemas.openxmlformats.org/officeDocument/2006/relationships/drawing" Target="../drawings/drawing9.xml"/><Relationship Id="rId4"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5" Type="http://schemas.openxmlformats.org/officeDocument/2006/relationships/table" Target="../tables/table9.xml"/><Relationship Id="rId6" Type="http://schemas.openxmlformats.org/officeDocument/2006/relationships/table" Target="../tables/table10.xml"/><Relationship Id="rId7"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33.38"/>
    <col customWidth="1" min="2" max="2" width="31.13"/>
    <col customWidth="1" min="3" max="3" width="12.5"/>
    <col customWidth="1" min="4" max="4" width="13.88"/>
    <col customWidth="1" min="5" max="5" width="91.25"/>
  </cols>
  <sheetData>
    <row r="1" ht="22.5" customHeight="1">
      <c r="A1" s="1" t="s">
        <v>0</v>
      </c>
      <c r="B1" s="2" t="s">
        <v>1</v>
      </c>
      <c r="C1" s="3" t="s">
        <v>2</v>
      </c>
      <c r="D1" s="4" t="s">
        <v>3</v>
      </c>
      <c r="E1" s="2" t="s">
        <v>4</v>
      </c>
      <c r="F1" s="5"/>
      <c r="G1" s="5"/>
      <c r="H1" s="5"/>
      <c r="I1" s="5"/>
      <c r="J1" s="5"/>
      <c r="K1" s="5"/>
      <c r="L1" s="5"/>
      <c r="M1" s="5"/>
      <c r="N1" s="5"/>
      <c r="O1" s="5"/>
      <c r="P1" s="5"/>
      <c r="Q1" s="5"/>
      <c r="R1" s="5"/>
      <c r="S1" s="5"/>
      <c r="T1" s="5"/>
      <c r="U1" s="5"/>
      <c r="V1" s="5"/>
      <c r="W1" s="5"/>
      <c r="X1" s="5"/>
      <c r="Y1" s="5"/>
      <c r="Z1" s="5"/>
      <c r="AA1" s="5"/>
    </row>
    <row r="2" ht="22.5" hidden="1" customHeight="1">
      <c r="A2" s="6" t="s">
        <v>5</v>
      </c>
      <c r="B2" s="7" t="s">
        <v>6</v>
      </c>
      <c r="C2" s="8"/>
      <c r="D2" s="9" t="s">
        <v>7</v>
      </c>
      <c r="E2" s="8" t="s">
        <v>8</v>
      </c>
    </row>
    <row r="3" ht="22.5" hidden="1" customHeight="1">
      <c r="A3" s="6" t="s">
        <v>9</v>
      </c>
      <c r="B3" s="7" t="s">
        <v>6</v>
      </c>
      <c r="C3" s="8"/>
      <c r="D3" s="9" t="s">
        <v>7</v>
      </c>
      <c r="E3" s="8" t="s">
        <v>10</v>
      </c>
    </row>
    <row r="4" ht="22.5" hidden="1" customHeight="1">
      <c r="A4" s="6" t="s">
        <v>11</v>
      </c>
      <c r="B4" s="7" t="s">
        <v>12</v>
      </c>
      <c r="C4" s="8" t="s">
        <v>13</v>
      </c>
      <c r="D4" s="9" t="s">
        <v>7</v>
      </c>
      <c r="E4" s="10" t="s">
        <v>14</v>
      </c>
    </row>
    <row r="5" ht="22.5" hidden="1" customHeight="1">
      <c r="A5" s="6" t="s">
        <v>15</v>
      </c>
      <c r="B5" s="7" t="s">
        <v>12</v>
      </c>
      <c r="C5" s="8" t="s">
        <v>16</v>
      </c>
      <c r="D5" s="9" t="s">
        <v>7</v>
      </c>
      <c r="E5" s="10" t="s">
        <v>17</v>
      </c>
    </row>
    <row r="6" ht="22.5" hidden="1" customHeight="1">
      <c r="A6" s="6" t="s">
        <v>18</v>
      </c>
      <c r="B6" s="7" t="s">
        <v>19</v>
      </c>
      <c r="C6" s="8"/>
      <c r="D6" s="9" t="s">
        <v>20</v>
      </c>
      <c r="E6" s="8" t="s">
        <v>21</v>
      </c>
    </row>
    <row r="7" ht="22.5" hidden="1" customHeight="1">
      <c r="A7" s="6" t="s">
        <v>22</v>
      </c>
      <c r="B7" s="7" t="s">
        <v>19</v>
      </c>
      <c r="C7" s="8"/>
      <c r="D7" s="9" t="s">
        <v>20</v>
      </c>
      <c r="E7" s="8" t="s">
        <v>23</v>
      </c>
    </row>
    <row r="8" ht="22.5" hidden="1" customHeight="1">
      <c r="A8" s="6" t="s">
        <v>24</v>
      </c>
      <c r="B8" s="7" t="s">
        <v>19</v>
      </c>
      <c r="C8" s="11"/>
      <c r="D8" s="9" t="s">
        <v>20</v>
      </c>
      <c r="E8" s="11"/>
    </row>
    <row r="9" ht="22.5" hidden="1" customHeight="1">
      <c r="A9" s="6" t="s">
        <v>25</v>
      </c>
      <c r="B9" s="7" t="s">
        <v>19</v>
      </c>
      <c r="C9" s="11"/>
      <c r="D9" s="9" t="s">
        <v>20</v>
      </c>
      <c r="E9" s="11"/>
    </row>
    <row r="10" ht="22.5" hidden="1" customHeight="1">
      <c r="A10" s="6" t="s">
        <v>26</v>
      </c>
      <c r="B10" s="7" t="s">
        <v>19</v>
      </c>
      <c r="C10" s="11"/>
      <c r="D10" s="9" t="s">
        <v>20</v>
      </c>
      <c r="E10" s="11"/>
    </row>
    <row r="11" ht="22.5" hidden="1" customHeight="1">
      <c r="A11" s="6" t="s">
        <v>27</v>
      </c>
      <c r="B11" s="7" t="s">
        <v>19</v>
      </c>
      <c r="C11" s="11"/>
      <c r="D11" s="9" t="s">
        <v>20</v>
      </c>
      <c r="E11" s="11"/>
    </row>
    <row r="12" ht="22.5" hidden="1" customHeight="1">
      <c r="A12" s="6" t="s">
        <v>28</v>
      </c>
      <c r="B12" s="7" t="s">
        <v>19</v>
      </c>
      <c r="C12" s="11"/>
      <c r="D12" s="9" t="s">
        <v>20</v>
      </c>
      <c r="E12" s="11"/>
    </row>
    <row r="13" ht="22.5" hidden="1" customHeight="1">
      <c r="A13" s="6" t="s">
        <v>29</v>
      </c>
      <c r="B13" s="7" t="s">
        <v>30</v>
      </c>
      <c r="C13" s="11"/>
      <c r="D13" s="9" t="s">
        <v>20</v>
      </c>
      <c r="E13" s="11"/>
    </row>
    <row r="14" ht="22.5" hidden="1" customHeight="1">
      <c r="A14" s="6" t="s">
        <v>31</v>
      </c>
      <c r="B14" s="7" t="s">
        <v>30</v>
      </c>
      <c r="C14" s="11"/>
      <c r="D14" s="9" t="s">
        <v>20</v>
      </c>
      <c r="E14" s="11"/>
    </row>
    <row r="15" ht="22.5" hidden="1" customHeight="1">
      <c r="A15" s="6" t="s">
        <v>32</v>
      </c>
      <c r="B15" s="7" t="s">
        <v>12</v>
      </c>
      <c r="C15" s="8" t="s">
        <v>33</v>
      </c>
      <c r="D15" s="9" t="s">
        <v>7</v>
      </c>
      <c r="E15" s="10" t="s">
        <v>34</v>
      </c>
    </row>
    <row r="16" ht="22.5" hidden="1" customHeight="1">
      <c r="A16" s="6" t="s">
        <v>35</v>
      </c>
      <c r="B16" s="7" t="s">
        <v>12</v>
      </c>
      <c r="C16" s="8" t="s">
        <v>36</v>
      </c>
      <c r="D16" s="9" t="s">
        <v>7</v>
      </c>
      <c r="E16" s="10" t="s">
        <v>37</v>
      </c>
    </row>
    <row r="17" ht="22.5" hidden="1" customHeight="1">
      <c r="A17" s="6" t="s">
        <v>38</v>
      </c>
      <c r="B17" s="7" t="s">
        <v>12</v>
      </c>
      <c r="C17" s="8" t="s">
        <v>39</v>
      </c>
      <c r="D17" s="9" t="s">
        <v>7</v>
      </c>
      <c r="E17" s="10" t="s">
        <v>40</v>
      </c>
    </row>
    <row r="18" ht="22.5" hidden="1" customHeight="1">
      <c r="A18" s="6" t="s">
        <v>41</v>
      </c>
      <c r="B18" s="7" t="s">
        <v>12</v>
      </c>
      <c r="C18" s="8" t="s">
        <v>41</v>
      </c>
      <c r="D18" s="9" t="s">
        <v>7</v>
      </c>
      <c r="E18" s="10" t="s">
        <v>42</v>
      </c>
    </row>
    <row r="19" ht="22.5" hidden="1" customHeight="1">
      <c r="A19" s="6" t="s">
        <v>43</v>
      </c>
      <c r="B19" s="7" t="s">
        <v>12</v>
      </c>
      <c r="C19" s="8" t="s">
        <v>44</v>
      </c>
      <c r="D19" s="9" t="s">
        <v>7</v>
      </c>
      <c r="E19" s="10" t="s">
        <v>45</v>
      </c>
    </row>
    <row r="20" ht="22.5" hidden="1" customHeight="1">
      <c r="A20" s="6" t="s">
        <v>46</v>
      </c>
      <c r="B20" s="7" t="s">
        <v>12</v>
      </c>
      <c r="C20" s="8" t="s">
        <v>47</v>
      </c>
      <c r="D20" s="9" t="s">
        <v>7</v>
      </c>
      <c r="E20" s="10" t="s">
        <v>48</v>
      </c>
    </row>
    <row r="21" ht="22.5" hidden="1" customHeight="1">
      <c r="A21" s="6" t="s">
        <v>49</v>
      </c>
      <c r="B21" s="7" t="s">
        <v>12</v>
      </c>
      <c r="C21" s="8" t="s">
        <v>50</v>
      </c>
      <c r="D21" s="9" t="s">
        <v>7</v>
      </c>
      <c r="E21" s="10" t="s">
        <v>51</v>
      </c>
    </row>
    <row r="22" ht="22.5" hidden="1" customHeight="1">
      <c r="A22" s="6" t="s">
        <v>52</v>
      </c>
      <c r="B22" s="7" t="s">
        <v>12</v>
      </c>
      <c r="C22" s="8" t="s">
        <v>53</v>
      </c>
      <c r="D22" s="9" t="s">
        <v>7</v>
      </c>
      <c r="E22" s="10" t="s">
        <v>54</v>
      </c>
    </row>
    <row r="23" ht="22.5" hidden="1" customHeight="1">
      <c r="A23" s="6" t="s">
        <v>55</v>
      </c>
      <c r="B23" s="12" t="s">
        <v>12</v>
      </c>
      <c r="C23" s="8" t="s">
        <v>56</v>
      </c>
      <c r="D23" s="9" t="s">
        <v>7</v>
      </c>
      <c r="E23" s="10" t="s">
        <v>57</v>
      </c>
    </row>
    <row r="24" ht="22.5" hidden="1" customHeight="1">
      <c r="A24" s="6" t="s">
        <v>49</v>
      </c>
      <c r="B24" s="12" t="s">
        <v>12</v>
      </c>
      <c r="C24" s="8" t="s">
        <v>50</v>
      </c>
      <c r="D24" s="9" t="s">
        <v>7</v>
      </c>
      <c r="E24" s="10" t="s">
        <v>58</v>
      </c>
    </row>
    <row r="25" ht="22.5" hidden="1" customHeight="1">
      <c r="A25" s="6" t="s">
        <v>59</v>
      </c>
      <c r="B25" s="12" t="s">
        <v>12</v>
      </c>
      <c r="C25" s="8" t="s">
        <v>60</v>
      </c>
      <c r="D25" s="9" t="s">
        <v>7</v>
      </c>
      <c r="E25" s="10" t="s">
        <v>61</v>
      </c>
    </row>
    <row r="26" ht="22.5" hidden="1" customHeight="1">
      <c r="A26" s="6" t="s">
        <v>62</v>
      </c>
      <c r="B26" s="12" t="s">
        <v>12</v>
      </c>
      <c r="C26" s="8" t="s">
        <v>63</v>
      </c>
      <c r="D26" s="9" t="s">
        <v>7</v>
      </c>
      <c r="E26" s="10" t="s">
        <v>64</v>
      </c>
    </row>
    <row r="27" ht="22.5" hidden="1" customHeight="1">
      <c r="A27" s="13" t="s">
        <v>65</v>
      </c>
      <c r="B27" s="13" t="s">
        <v>6</v>
      </c>
      <c r="C27" s="14"/>
      <c r="D27" s="9" t="s">
        <v>7</v>
      </c>
      <c r="E27" s="14"/>
    </row>
    <row r="28" ht="22.5" hidden="1" customHeight="1">
      <c r="A28" s="13" t="s">
        <v>66</v>
      </c>
      <c r="B28" s="13" t="s">
        <v>67</v>
      </c>
      <c r="C28" s="14"/>
      <c r="D28" s="9" t="s">
        <v>20</v>
      </c>
      <c r="E28" s="13" t="s">
        <v>68</v>
      </c>
    </row>
    <row r="29" ht="22.5" hidden="1" customHeight="1">
      <c r="A29" s="7" t="s">
        <v>69</v>
      </c>
      <c r="B29" s="13" t="s">
        <v>67</v>
      </c>
      <c r="C29" s="14"/>
      <c r="D29" s="9" t="s">
        <v>20</v>
      </c>
      <c r="E29" s="13" t="s">
        <v>70</v>
      </c>
    </row>
    <row r="30" ht="22.5" hidden="1" customHeight="1">
      <c r="A30" s="13" t="s">
        <v>71</v>
      </c>
      <c r="B30" s="13" t="s">
        <v>67</v>
      </c>
      <c r="C30" s="14"/>
      <c r="D30" s="9" t="s">
        <v>20</v>
      </c>
      <c r="E30" s="7" t="s">
        <v>72</v>
      </c>
    </row>
    <row r="31" ht="22.5" hidden="1" customHeight="1">
      <c r="A31" s="13" t="s">
        <v>73</v>
      </c>
      <c r="B31" s="13" t="s">
        <v>67</v>
      </c>
      <c r="C31" s="14"/>
      <c r="D31" s="9" t="s">
        <v>20</v>
      </c>
      <c r="E31" s="7" t="s">
        <v>74</v>
      </c>
    </row>
    <row r="32" ht="22.5" hidden="1" customHeight="1">
      <c r="A32" s="13" t="s">
        <v>75</v>
      </c>
      <c r="B32" s="13" t="s">
        <v>76</v>
      </c>
      <c r="C32" s="13" t="s">
        <v>77</v>
      </c>
      <c r="D32" s="9" t="s">
        <v>7</v>
      </c>
      <c r="E32" s="13" t="s">
        <v>78</v>
      </c>
    </row>
    <row r="33" ht="22.5" hidden="1" customHeight="1">
      <c r="A33" s="13" t="s">
        <v>79</v>
      </c>
      <c r="B33" s="13" t="s">
        <v>76</v>
      </c>
      <c r="C33" s="14"/>
      <c r="D33" s="9" t="s">
        <v>7</v>
      </c>
      <c r="E33" s="13" t="s">
        <v>80</v>
      </c>
    </row>
    <row r="34" ht="22.5" hidden="1" customHeight="1">
      <c r="A34" s="13" t="s">
        <v>81</v>
      </c>
      <c r="B34" s="13" t="s">
        <v>76</v>
      </c>
      <c r="C34" s="14"/>
      <c r="D34" s="14"/>
      <c r="E34" s="14"/>
    </row>
    <row r="35" ht="22.5" hidden="1" customHeight="1">
      <c r="A35" s="13" t="s">
        <v>82</v>
      </c>
      <c r="B35" s="13" t="s">
        <v>76</v>
      </c>
      <c r="C35" s="14"/>
      <c r="D35" s="14"/>
      <c r="E35" s="14"/>
    </row>
    <row r="36" ht="22.5" hidden="1" customHeight="1">
      <c r="A36" s="13" t="s">
        <v>83</v>
      </c>
      <c r="B36" s="13" t="s">
        <v>76</v>
      </c>
      <c r="C36" s="14"/>
      <c r="D36" s="14"/>
      <c r="E36" s="14"/>
    </row>
    <row r="37" ht="22.5" hidden="1" customHeight="1">
      <c r="A37" s="13" t="s">
        <v>84</v>
      </c>
      <c r="B37" s="13" t="s">
        <v>85</v>
      </c>
      <c r="C37" s="14"/>
      <c r="D37" s="14"/>
      <c r="E37" s="14"/>
    </row>
    <row r="38" ht="22.5" hidden="1" customHeight="1">
      <c r="A38" s="13" t="s">
        <v>86</v>
      </c>
      <c r="B38" s="13" t="s">
        <v>76</v>
      </c>
      <c r="C38" s="14"/>
      <c r="D38" s="14"/>
      <c r="E38" s="14"/>
    </row>
    <row r="39" ht="22.5" hidden="1" customHeight="1">
      <c r="A39" s="13" t="s">
        <v>87</v>
      </c>
      <c r="B39" s="13" t="s">
        <v>76</v>
      </c>
      <c r="C39" s="14"/>
      <c r="D39" s="14"/>
      <c r="E39" s="14"/>
    </row>
    <row r="40" ht="22.5" hidden="1" customHeight="1">
      <c r="A40" s="13" t="s">
        <v>88</v>
      </c>
      <c r="B40" s="13" t="s">
        <v>6</v>
      </c>
      <c r="C40" s="14"/>
      <c r="D40" s="9" t="s">
        <v>20</v>
      </c>
      <c r="E40" s="13" t="s">
        <v>89</v>
      </c>
    </row>
    <row r="41" ht="22.5" customHeight="1">
      <c r="A41" s="13" t="s">
        <v>90</v>
      </c>
      <c r="B41" s="13" t="s">
        <v>91</v>
      </c>
      <c r="C41" s="14"/>
      <c r="D41" s="9" t="s">
        <v>7</v>
      </c>
      <c r="E41" s="13" t="s">
        <v>92</v>
      </c>
    </row>
    <row r="42" ht="22.5" customHeight="1">
      <c r="A42" s="13" t="s">
        <v>93</v>
      </c>
      <c r="B42" s="13" t="s">
        <v>91</v>
      </c>
      <c r="C42" s="14"/>
      <c r="D42" s="9" t="s">
        <v>7</v>
      </c>
      <c r="E42" s="15" t="s">
        <v>94</v>
      </c>
    </row>
    <row r="43" ht="22.5" customHeight="1">
      <c r="A43" s="13" t="s">
        <v>95</v>
      </c>
      <c r="B43" s="13" t="s">
        <v>91</v>
      </c>
      <c r="C43" s="14"/>
      <c r="D43" s="9" t="s">
        <v>20</v>
      </c>
      <c r="E43" s="13" t="s">
        <v>96</v>
      </c>
    </row>
    <row r="44" ht="22.5" hidden="1" customHeight="1">
      <c r="A44" s="13" t="s">
        <v>97</v>
      </c>
      <c r="B44" s="13" t="s">
        <v>98</v>
      </c>
      <c r="C44" s="14"/>
      <c r="D44" s="14"/>
      <c r="E44" s="16" t="s">
        <v>99</v>
      </c>
    </row>
    <row r="45" ht="22.5" customHeight="1">
      <c r="A45" s="13" t="s">
        <v>100</v>
      </c>
      <c r="B45" s="13" t="s">
        <v>101</v>
      </c>
      <c r="C45" s="14"/>
      <c r="D45" s="9" t="s">
        <v>7</v>
      </c>
      <c r="E45" s="16" t="s">
        <v>102</v>
      </c>
    </row>
    <row r="46" ht="22.5" customHeight="1">
      <c r="A46" s="13" t="s">
        <v>103</v>
      </c>
      <c r="B46" s="17" t="s">
        <v>101</v>
      </c>
      <c r="C46" s="14"/>
      <c r="D46" s="9"/>
      <c r="E46" s="16" t="s">
        <v>104</v>
      </c>
    </row>
    <row r="47" ht="22.5" customHeight="1">
      <c r="A47" s="13" t="s">
        <v>105</v>
      </c>
      <c r="B47" s="17" t="s">
        <v>101</v>
      </c>
      <c r="C47" s="14"/>
      <c r="D47" s="9" t="s">
        <v>7</v>
      </c>
      <c r="E47" s="16" t="s">
        <v>106</v>
      </c>
    </row>
    <row r="48" ht="22.5" hidden="1" customHeight="1">
      <c r="A48" s="13" t="s">
        <v>105</v>
      </c>
      <c r="B48" s="13" t="s">
        <v>98</v>
      </c>
      <c r="C48" s="14"/>
      <c r="D48" s="14"/>
      <c r="E48" s="16" t="s">
        <v>107</v>
      </c>
    </row>
    <row r="49" ht="22.5" customHeight="1">
      <c r="A49" s="18" t="s">
        <v>108</v>
      </c>
      <c r="B49" s="13" t="s">
        <v>91</v>
      </c>
      <c r="C49" s="14"/>
      <c r="D49" s="9" t="s">
        <v>7</v>
      </c>
      <c r="E49" s="16" t="s">
        <v>109</v>
      </c>
    </row>
    <row r="50" ht="22.5" customHeight="1">
      <c r="A50" s="13" t="s">
        <v>110</v>
      </c>
      <c r="B50" s="13" t="s">
        <v>91</v>
      </c>
      <c r="C50" s="14"/>
      <c r="D50" s="9" t="s">
        <v>20</v>
      </c>
      <c r="E50" s="15" t="s">
        <v>111</v>
      </c>
    </row>
    <row r="51" ht="22.5" hidden="1" customHeight="1">
      <c r="A51" s="13" t="s">
        <v>112</v>
      </c>
      <c r="B51" s="13" t="s">
        <v>113</v>
      </c>
      <c r="C51" s="14"/>
      <c r="D51" s="9" t="s">
        <v>20</v>
      </c>
      <c r="E51" s="16" t="s">
        <v>114</v>
      </c>
    </row>
    <row r="52" ht="22.5" hidden="1" customHeight="1">
      <c r="A52" s="13" t="s">
        <v>115</v>
      </c>
      <c r="B52" s="13" t="s">
        <v>113</v>
      </c>
      <c r="C52" s="14"/>
      <c r="D52" s="9" t="s">
        <v>20</v>
      </c>
      <c r="E52" s="16" t="s">
        <v>116</v>
      </c>
    </row>
    <row r="53" ht="22.5" hidden="1" customHeight="1">
      <c r="A53" s="13" t="s">
        <v>117</v>
      </c>
      <c r="B53" s="13" t="s">
        <v>113</v>
      </c>
      <c r="C53" s="14"/>
      <c r="D53" s="9" t="s">
        <v>20</v>
      </c>
      <c r="E53" s="16" t="s">
        <v>118</v>
      </c>
    </row>
    <row r="54" ht="22.5" hidden="1" customHeight="1">
      <c r="A54" s="13" t="s">
        <v>119</v>
      </c>
      <c r="B54" s="13" t="s">
        <v>113</v>
      </c>
      <c r="C54" s="14"/>
      <c r="D54" s="9" t="s">
        <v>20</v>
      </c>
      <c r="E54" s="15" t="s">
        <v>120</v>
      </c>
    </row>
    <row r="55" ht="22.5" hidden="1" customHeight="1">
      <c r="A55" s="13" t="s">
        <v>121</v>
      </c>
      <c r="B55" s="13" t="s">
        <v>113</v>
      </c>
      <c r="C55" s="14"/>
      <c r="D55" s="9" t="s">
        <v>20</v>
      </c>
      <c r="E55" s="16" t="s">
        <v>122</v>
      </c>
    </row>
    <row r="56" ht="22.5" hidden="1" customHeight="1">
      <c r="A56" s="16" t="s">
        <v>123</v>
      </c>
      <c r="B56" s="13" t="s">
        <v>113</v>
      </c>
      <c r="C56" s="14"/>
      <c r="D56" s="9" t="s">
        <v>20</v>
      </c>
      <c r="E56" s="16" t="s">
        <v>124</v>
      </c>
    </row>
    <row r="57" ht="22.5" hidden="1" customHeight="1">
      <c r="A57" s="13" t="s">
        <v>125</v>
      </c>
      <c r="B57" s="13" t="s">
        <v>113</v>
      </c>
      <c r="C57" s="14"/>
      <c r="D57" s="9" t="s">
        <v>20</v>
      </c>
      <c r="E57" s="16" t="s">
        <v>126</v>
      </c>
    </row>
    <row r="58" ht="22.5" hidden="1" customHeight="1">
      <c r="A58" s="13" t="s">
        <v>127</v>
      </c>
      <c r="B58" s="13" t="s">
        <v>113</v>
      </c>
      <c r="C58" s="14"/>
      <c r="D58" s="9" t="s">
        <v>20</v>
      </c>
      <c r="E58" s="15" t="s">
        <v>128</v>
      </c>
    </row>
    <row r="59" ht="22.5" hidden="1" customHeight="1">
      <c r="A59" s="13" t="s">
        <v>71</v>
      </c>
      <c r="B59" s="13" t="s">
        <v>113</v>
      </c>
      <c r="C59" s="14"/>
      <c r="D59" s="9" t="s">
        <v>20</v>
      </c>
      <c r="E59" s="16" t="s">
        <v>129</v>
      </c>
    </row>
    <row r="60" ht="22.5" hidden="1" customHeight="1">
      <c r="A60" s="13" t="s">
        <v>130</v>
      </c>
      <c r="B60" s="13" t="s">
        <v>113</v>
      </c>
      <c r="C60" s="14"/>
      <c r="D60" s="9" t="s">
        <v>20</v>
      </c>
      <c r="E60" s="16" t="s">
        <v>131</v>
      </c>
    </row>
    <row r="61" ht="22.5" customHeight="1">
      <c r="A61" s="13" t="s">
        <v>132</v>
      </c>
      <c r="B61" s="13" t="s">
        <v>91</v>
      </c>
      <c r="C61" s="14"/>
      <c r="D61" s="9" t="s">
        <v>7</v>
      </c>
      <c r="E61" s="13" t="s">
        <v>133</v>
      </c>
    </row>
    <row r="62" ht="22.5" customHeight="1">
      <c r="A62" s="13" t="s">
        <v>134</v>
      </c>
      <c r="B62" s="13" t="s">
        <v>91</v>
      </c>
      <c r="C62" s="14"/>
      <c r="D62" s="9" t="s">
        <v>7</v>
      </c>
      <c r="E62" s="13" t="s">
        <v>133</v>
      </c>
    </row>
    <row r="63" ht="22.5" customHeight="1">
      <c r="A63" s="13" t="s">
        <v>135</v>
      </c>
      <c r="B63" s="13" t="s">
        <v>91</v>
      </c>
      <c r="C63" s="14"/>
      <c r="D63" s="9" t="s">
        <v>7</v>
      </c>
      <c r="E63" s="13" t="s">
        <v>133</v>
      </c>
    </row>
    <row r="64" ht="22.5" customHeight="1">
      <c r="A64" s="13" t="s">
        <v>136</v>
      </c>
      <c r="B64" s="13" t="s">
        <v>91</v>
      </c>
      <c r="C64" s="14"/>
      <c r="D64" s="9" t="s">
        <v>7</v>
      </c>
      <c r="E64" s="13" t="s">
        <v>133</v>
      </c>
    </row>
    <row r="65" ht="22.5" hidden="1" customHeight="1">
      <c r="A65" s="13" t="s">
        <v>137</v>
      </c>
      <c r="B65" s="13" t="s">
        <v>98</v>
      </c>
      <c r="C65" s="14"/>
      <c r="D65" s="14"/>
      <c r="E65" s="13" t="s">
        <v>138</v>
      </c>
    </row>
    <row r="66" ht="22.5" hidden="1" customHeight="1">
      <c r="A66" s="13" t="s">
        <v>139</v>
      </c>
      <c r="B66" s="13" t="s">
        <v>98</v>
      </c>
      <c r="C66" s="14"/>
      <c r="D66" s="14"/>
      <c r="E66" s="13" t="s">
        <v>140</v>
      </c>
    </row>
    <row r="67" ht="22.5" hidden="1" customHeight="1">
      <c r="A67" s="13" t="s">
        <v>141</v>
      </c>
      <c r="B67" s="13" t="s">
        <v>142</v>
      </c>
      <c r="C67" s="14"/>
      <c r="D67" s="14"/>
      <c r="E67" s="13" t="s">
        <v>143</v>
      </c>
    </row>
    <row r="68" ht="22.5" hidden="1" customHeight="1">
      <c r="A68" s="13" t="s">
        <v>144</v>
      </c>
      <c r="B68" s="13" t="s">
        <v>98</v>
      </c>
      <c r="C68" s="14"/>
      <c r="D68" s="14"/>
      <c r="E68" s="14"/>
    </row>
    <row r="69" ht="22.5" hidden="1" customHeight="1">
      <c r="A69" s="13" t="s">
        <v>145</v>
      </c>
      <c r="B69" s="13" t="s">
        <v>98</v>
      </c>
      <c r="C69" s="14"/>
      <c r="D69" s="14"/>
      <c r="E69" s="14"/>
    </row>
    <row r="70">
      <c r="D70" s="5"/>
    </row>
    <row r="71">
      <c r="D71" s="5"/>
    </row>
    <row r="72">
      <c r="D72" s="5"/>
    </row>
    <row r="73">
      <c r="D73" s="5"/>
    </row>
    <row r="74">
      <c r="D74" s="5"/>
    </row>
    <row r="75">
      <c r="D75" s="5"/>
    </row>
    <row r="76">
      <c r="D76" s="5"/>
    </row>
    <row r="77">
      <c r="D77" s="5"/>
    </row>
    <row r="78">
      <c r="D78" s="5"/>
    </row>
    <row r="79">
      <c r="D79" s="5"/>
    </row>
    <row r="80">
      <c r="D80" s="5"/>
    </row>
    <row r="81">
      <c r="D81" s="5"/>
    </row>
    <row r="82">
      <c r="D82" s="5"/>
    </row>
    <row r="83">
      <c r="D83" s="5"/>
    </row>
    <row r="84">
      <c r="D84" s="5"/>
    </row>
    <row r="85">
      <c r="D85" s="5"/>
    </row>
    <row r="86">
      <c r="D86" s="5"/>
    </row>
    <row r="87">
      <c r="D87" s="5"/>
    </row>
    <row r="88">
      <c r="D88" s="5"/>
    </row>
    <row r="89">
      <c r="D89" s="5"/>
    </row>
    <row r="90">
      <c r="D90" s="5"/>
    </row>
    <row r="91">
      <c r="D91" s="5"/>
    </row>
    <row r="92">
      <c r="D92" s="5"/>
    </row>
    <row r="93">
      <c r="D93" s="5"/>
    </row>
    <row r="94">
      <c r="D94" s="5"/>
    </row>
    <row r="95">
      <c r="D95" s="5"/>
    </row>
    <row r="96">
      <c r="D96" s="5"/>
    </row>
    <row r="97">
      <c r="D97" s="5"/>
    </row>
    <row r="98">
      <c r="D98" s="5"/>
    </row>
    <row r="99">
      <c r="D99" s="5"/>
    </row>
    <row r="100">
      <c r="D100" s="5"/>
    </row>
    <row r="101">
      <c r="D101" s="5"/>
    </row>
    <row r="102">
      <c r="D102" s="5"/>
    </row>
    <row r="103">
      <c r="D103" s="5"/>
    </row>
    <row r="104">
      <c r="D104" s="5"/>
    </row>
    <row r="105">
      <c r="D105" s="5"/>
    </row>
    <row r="106">
      <c r="D106" s="5"/>
    </row>
    <row r="107">
      <c r="D107" s="5"/>
    </row>
    <row r="108">
      <c r="D108" s="5"/>
    </row>
    <row r="109">
      <c r="D109" s="5"/>
    </row>
    <row r="110">
      <c r="D110" s="5"/>
    </row>
    <row r="111">
      <c r="D111" s="5"/>
    </row>
    <row r="112">
      <c r="D112" s="5"/>
    </row>
    <row r="113">
      <c r="D113" s="5"/>
    </row>
    <row r="114">
      <c r="D114" s="5"/>
    </row>
    <row r="115">
      <c r="D115" s="5"/>
    </row>
    <row r="116">
      <c r="D116" s="5"/>
    </row>
    <row r="117">
      <c r="D117" s="5"/>
    </row>
    <row r="118">
      <c r="D118" s="5"/>
    </row>
    <row r="119">
      <c r="D119" s="5"/>
    </row>
    <row r="120">
      <c r="D120" s="5"/>
    </row>
    <row r="121">
      <c r="D121" s="5"/>
    </row>
    <row r="122">
      <c r="D122" s="5"/>
    </row>
    <row r="123">
      <c r="D123" s="5"/>
    </row>
    <row r="124">
      <c r="D124" s="5"/>
    </row>
    <row r="125">
      <c r="D125" s="5"/>
    </row>
    <row r="126">
      <c r="D126" s="5"/>
    </row>
    <row r="127">
      <c r="D127" s="5"/>
    </row>
    <row r="128">
      <c r="D128" s="5"/>
    </row>
    <row r="129">
      <c r="D129" s="5"/>
    </row>
    <row r="130">
      <c r="D130" s="5"/>
    </row>
    <row r="131">
      <c r="D131" s="5"/>
    </row>
    <row r="132">
      <c r="D132" s="5"/>
    </row>
    <row r="133">
      <c r="D133" s="5"/>
    </row>
    <row r="134">
      <c r="D134" s="5"/>
    </row>
    <row r="135">
      <c r="D135" s="5"/>
    </row>
    <row r="136">
      <c r="D136" s="5"/>
    </row>
    <row r="137">
      <c r="D137" s="5"/>
    </row>
    <row r="138">
      <c r="D138" s="5"/>
    </row>
    <row r="139">
      <c r="D139" s="5"/>
    </row>
    <row r="140">
      <c r="D140" s="5"/>
    </row>
    <row r="141">
      <c r="D141" s="5"/>
    </row>
    <row r="142">
      <c r="D142" s="5"/>
    </row>
    <row r="143">
      <c r="D143" s="5"/>
    </row>
    <row r="144">
      <c r="D144" s="5"/>
    </row>
    <row r="145">
      <c r="D145" s="5"/>
    </row>
    <row r="146">
      <c r="D146" s="5"/>
    </row>
    <row r="147">
      <c r="D147" s="5"/>
    </row>
    <row r="148">
      <c r="D148" s="5"/>
    </row>
    <row r="149">
      <c r="D149" s="5"/>
    </row>
    <row r="150">
      <c r="D150" s="5"/>
    </row>
    <row r="151">
      <c r="D151" s="5"/>
    </row>
    <row r="152">
      <c r="D152" s="5"/>
    </row>
    <row r="153">
      <c r="D153" s="5"/>
    </row>
    <row r="154">
      <c r="D154" s="5"/>
    </row>
    <row r="155">
      <c r="D155" s="5"/>
    </row>
    <row r="156">
      <c r="D156" s="5"/>
    </row>
    <row r="157">
      <c r="D157" s="5"/>
    </row>
    <row r="158">
      <c r="D158" s="5"/>
    </row>
    <row r="159">
      <c r="D159" s="5"/>
    </row>
    <row r="160">
      <c r="D160" s="5"/>
    </row>
    <row r="161">
      <c r="D161" s="5"/>
    </row>
    <row r="162">
      <c r="D162" s="5"/>
    </row>
    <row r="163">
      <c r="D163" s="5"/>
    </row>
    <row r="164">
      <c r="D164" s="5"/>
    </row>
    <row r="165">
      <c r="D165" s="5"/>
    </row>
    <row r="166">
      <c r="D166" s="5"/>
    </row>
    <row r="167">
      <c r="D167" s="5"/>
    </row>
    <row r="168">
      <c r="D168" s="5"/>
    </row>
    <row r="169">
      <c r="D169" s="5"/>
    </row>
    <row r="170">
      <c r="D170" s="5"/>
    </row>
    <row r="171">
      <c r="D171" s="5"/>
    </row>
    <row r="172">
      <c r="D172" s="5"/>
    </row>
    <row r="173">
      <c r="D173" s="5"/>
    </row>
    <row r="174">
      <c r="D174" s="5"/>
    </row>
    <row r="175">
      <c r="D175" s="5"/>
    </row>
    <row r="176">
      <c r="D176" s="5"/>
    </row>
    <row r="177">
      <c r="D177" s="5"/>
    </row>
    <row r="178">
      <c r="D178" s="5"/>
    </row>
    <row r="179">
      <c r="D179" s="5"/>
    </row>
    <row r="180">
      <c r="D180" s="5"/>
    </row>
    <row r="181">
      <c r="D181" s="5"/>
    </row>
    <row r="182">
      <c r="D182" s="5"/>
    </row>
    <row r="183">
      <c r="D183" s="5"/>
    </row>
    <row r="184">
      <c r="D184" s="5"/>
    </row>
    <row r="185">
      <c r="D185" s="5"/>
    </row>
    <row r="186">
      <c r="D186" s="5"/>
    </row>
    <row r="187">
      <c r="D187" s="5"/>
    </row>
    <row r="188">
      <c r="D188" s="5"/>
    </row>
    <row r="189">
      <c r="D189" s="5"/>
    </row>
    <row r="190">
      <c r="D190" s="5"/>
    </row>
    <row r="191">
      <c r="D191" s="5"/>
    </row>
    <row r="192">
      <c r="D192" s="5"/>
    </row>
    <row r="193">
      <c r="D193" s="5"/>
    </row>
    <row r="194">
      <c r="D194" s="5"/>
    </row>
    <row r="195">
      <c r="D195" s="5"/>
    </row>
    <row r="196">
      <c r="D196" s="5"/>
    </row>
    <row r="197">
      <c r="D197" s="5"/>
    </row>
    <row r="198">
      <c r="D198" s="5"/>
    </row>
    <row r="199">
      <c r="D199" s="5"/>
    </row>
    <row r="200">
      <c r="D200" s="5"/>
    </row>
    <row r="201">
      <c r="D201" s="5"/>
    </row>
    <row r="202">
      <c r="D202" s="5"/>
    </row>
    <row r="203">
      <c r="D203" s="5"/>
    </row>
    <row r="204">
      <c r="D204" s="5"/>
    </row>
    <row r="205">
      <c r="D205" s="5"/>
    </row>
    <row r="206">
      <c r="D206" s="5"/>
    </row>
    <row r="207">
      <c r="D207" s="5"/>
    </row>
    <row r="208">
      <c r="D208" s="5"/>
    </row>
    <row r="209">
      <c r="D209" s="5"/>
    </row>
    <row r="210">
      <c r="D210" s="5"/>
    </row>
    <row r="211">
      <c r="D211" s="5"/>
    </row>
    <row r="212">
      <c r="D212" s="5"/>
    </row>
    <row r="213">
      <c r="D213" s="5"/>
    </row>
    <row r="214">
      <c r="D214" s="5"/>
    </row>
    <row r="215">
      <c r="D215" s="5"/>
    </row>
    <row r="216">
      <c r="D216" s="5"/>
    </row>
    <row r="217">
      <c r="D217" s="5"/>
    </row>
    <row r="218">
      <c r="D218" s="5"/>
    </row>
    <row r="219">
      <c r="D219" s="5"/>
    </row>
    <row r="220">
      <c r="D220" s="5"/>
    </row>
    <row r="221">
      <c r="D221" s="5"/>
    </row>
    <row r="222">
      <c r="D222" s="5"/>
    </row>
    <row r="223">
      <c r="D223" s="5"/>
    </row>
    <row r="224">
      <c r="D224" s="5"/>
    </row>
    <row r="225">
      <c r="D225" s="5"/>
    </row>
    <row r="226">
      <c r="D226" s="5"/>
    </row>
    <row r="227">
      <c r="D227" s="5"/>
    </row>
    <row r="228">
      <c r="D228" s="5"/>
    </row>
    <row r="229">
      <c r="D229" s="5"/>
    </row>
    <row r="230">
      <c r="D230" s="5"/>
    </row>
    <row r="231">
      <c r="D231" s="5"/>
    </row>
    <row r="232">
      <c r="D232" s="5"/>
    </row>
    <row r="233">
      <c r="D233" s="5"/>
    </row>
    <row r="234">
      <c r="D234" s="5"/>
    </row>
    <row r="235">
      <c r="D235" s="5"/>
    </row>
    <row r="236">
      <c r="D236" s="5"/>
    </row>
    <row r="237">
      <c r="D237" s="5"/>
    </row>
    <row r="238">
      <c r="D238" s="5"/>
    </row>
    <row r="239">
      <c r="D239" s="5"/>
    </row>
    <row r="240">
      <c r="D240" s="5"/>
    </row>
    <row r="241">
      <c r="D241" s="5"/>
    </row>
    <row r="242">
      <c r="D242" s="5"/>
    </row>
    <row r="243">
      <c r="D243" s="5"/>
    </row>
    <row r="244">
      <c r="D244" s="5"/>
    </row>
    <row r="245">
      <c r="D245" s="5"/>
    </row>
    <row r="246">
      <c r="D246" s="5"/>
    </row>
    <row r="247">
      <c r="D247" s="5"/>
    </row>
    <row r="248">
      <c r="D248" s="5"/>
    </row>
    <row r="249">
      <c r="D249" s="5"/>
    </row>
    <row r="250">
      <c r="D250" s="5"/>
    </row>
    <row r="251">
      <c r="D251" s="5"/>
    </row>
    <row r="252">
      <c r="D252" s="5"/>
    </row>
    <row r="253">
      <c r="D253" s="5"/>
    </row>
    <row r="254">
      <c r="D254" s="5"/>
    </row>
    <row r="255">
      <c r="D255" s="5"/>
    </row>
    <row r="256">
      <c r="D256" s="5"/>
    </row>
    <row r="257">
      <c r="D257" s="5"/>
    </row>
    <row r="258">
      <c r="D258" s="5"/>
    </row>
    <row r="259">
      <c r="D259" s="5"/>
    </row>
    <row r="260">
      <c r="D260" s="5"/>
    </row>
    <row r="261">
      <c r="D261" s="5"/>
    </row>
    <row r="262">
      <c r="D262" s="5"/>
    </row>
    <row r="263">
      <c r="D263" s="5"/>
    </row>
    <row r="264">
      <c r="D264" s="5"/>
    </row>
    <row r="265">
      <c r="D265" s="5"/>
    </row>
    <row r="266">
      <c r="D266" s="5"/>
    </row>
    <row r="267">
      <c r="D267" s="5"/>
    </row>
    <row r="268">
      <c r="D268" s="5"/>
    </row>
    <row r="269">
      <c r="D269" s="5"/>
    </row>
    <row r="270">
      <c r="D270" s="5"/>
    </row>
    <row r="271">
      <c r="D271" s="5"/>
    </row>
    <row r="272">
      <c r="D272" s="5"/>
    </row>
    <row r="273">
      <c r="D273" s="5"/>
    </row>
    <row r="274">
      <c r="D274" s="5"/>
    </row>
    <row r="275">
      <c r="D275" s="5"/>
    </row>
    <row r="276">
      <c r="D276" s="5"/>
    </row>
    <row r="277">
      <c r="D277" s="5"/>
    </row>
    <row r="278">
      <c r="D278" s="5"/>
    </row>
    <row r="279">
      <c r="D279" s="5"/>
    </row>
    <row r="280">
      <c r="D280" s="5"/>
    </row>
    <row r="281">
      <c r="D281" s="5"/>
    </row>
    <row r="282">
      <c r="D282" s="5"/>
    </row>
    <row r="283">
      <c r="D283" s="5"/>
    </row>
    <row r="284">
      <c r="D284" s="5"/>
    </row>
    <row r="285">
      <c r="D285" s="5"/>
    </row>
    <row r="286">
      <c r="D286" s="5"/>
    </row>
    <row r="287">
      <c r="D287" s="5"/>
    </row>
    <row r="288">
      <c r="D288" s="5"/>
    </row>
    <row r="289">
      <c r="D289" s="5"/>
    </row>
    <row r="290">
      <c r="D290" s="5"/>
    </row>
    <row r="291">
      <c r="D291" s="5"/>
    </row>
    <row r="292">
      <c r="D292" s="5"/>
    </row>
    <row r="293">
      <c r="D293" s="5"/>
    </row>
    <row r="294">
      <c r="D294" s="5"/>
    </row>
    <row r="295">
      <c r="D295" s="5"/>
    </row>
    <row r="296">
      <c r="D296" s="5"/>
    </row>
    <row r="297">
      <c r="D297" s="5"/>
    </row>
    <row r="298">
      <c r="D298" s="5"/>
    </row>
    <row r="299">
      <c r="D299" s="5"/>
    </row>
    <row r="300">
      <c r="D300" s="5"/>
    </row>
    <row r="301">
      <c r="D301" s="5"/>
    </row>
    <row r="302">
      <c r="D302" s="5"/>
    </row>
    <row r="303">
      <c r="D303" s="5"/>
    </row>
    <row r="304">
      <c r="D304" s="5"/>
    </row>
    <row r="305">
      <c r="D305" s="5"/>
    </row>
    <row r="306">
      <c r="D306" s="5"/>
    </row>
    <row r="307">
      <c r="D307" s="5"/>
    </row>
    <row r="308">
      <c r="D308" s="5"/>
    </row>
    <row r="309">
      <c r="D309" s="5"/>
    </row>
    <row r="310">
      <c r="D310" s="5"/>
    </row>
    <row r="311">
      <c r="D311" s="5"/>
    </row>
    <row r="312">
      <c r="D312" s="5"/>
    </row>
    <row r="313">
      <c r="D313" s="5"/>
    </row>
    <row r="314">
      <c r="D314" s="5"/>
    </row>
    <row r="315">
      <c r="D315" s="5"/>
    </row>
    <row r="316">
      <c r="D316" s="5"/>
    </row>
    <row r="317">
      <c r="D317" s="5"/>
    </row>
    <row r="318">
      <c r="D318" s="5"/>
    </row>
    <row r="319">
      <c r="D319" s="5"/>
    </row>
    <row r="320">
      <c r="D320" s="5"/>
    </row>
    <row r="321">
      <c r="D321" s="5"/>
    </row>
    <row r="322">
      <c r="D322" s="5"/>
    </row>
    <row r="323">
      <c r="D323" s="5"/>
    </row>
    <row r="324">
      <c r="D324" s="5"/>
    </row>
    <row r="325">
      <c r="D325" s="5"/>
    </row>
    <row r="326">
      <c r="D326" s="5"/>
    </row>
    <row r="327">
      <c r="D327" s="5"/>
    </row>
    <row r="328">
      <c r="D328" s="5"/>
    </row>
    <row r="329">
      <c r="D329" s="5"/>
    </row>
    <row r="330">
      <c r="D330" s="5"/>
    </row>
    <row r="331">
      <c r="D331" s="5"/>
    </row>
    <row r="332">
      <c r="D332" s="5"/>
    </row>
    <row r="333">
      <c r="D333" s="5"/>
    </row>
    <row r="334">
      <c r="D334" s="5"/>
    </row>
    <row r="335">
      <c r="D335" s="5"/>
    </row>
    <row r="336">
      <c r="D336" s="5"/>
    </row>
    <row r="337">
      <c r="D337" s="5"/>
    </row>
    <row r="338">
      <c r="D338" s="5"/>
    </row>
    <row r="339">
      <c r="D339" s="5"/>
    </row>
    <row r="340">
      <c r="D340" s="5"/>
    </row>
    <row r="341">
      <c r="D341" s="5"/>
    </row>
    <row r="342">
      <c r="D342" s="5"/>
    </row>
    <row r="343">
      <c r="D343" s="5"/>
    </row>
    <row r="344">
      <c r="D344" s="5"/>
    </row>
    <row r="345">
      <c r="D345" s="5"/>
    </row>
    <row r="346">
      <c r="D346" s="5"/>
    </row>
    <row r="347">
      <c r="D347" s="5"/>
    </row>
    <row r="348">
      <c r="D348" s="5"/>
    </row>
    <row r="349">
      <c r="D349" s="5"/>
    </row>
    <row r="350">
      <c r="D350" s="5"/>
    </row>
    <row r="351">
      <c r="D351" s="5"/>
    </row>
    <row r="352">
      <c r="D352" s="5"/>
    </row>
    <row r="353">
      <c r="D353" s="5"/>
    </row>
    <row r="354">
      <c r="D354" s="5"/>
    </row>
    <row r="355">
      <c r="D355" s="5"/>
    </row>
    <row r="356">
      <c r="D356" s="5"/>
    </row>
    <row r="357">
      <c r="D357" s="5"/>
    </row>
    <row r="358">
      <c r="D358" s="5"/>
    </row>
    <row r="359">
      <c r="D359" s="5"/>
    </row>
    <row r="360">
      <c r="D360" s="5"/>
    </row>
    <row r="361">
      <c r="D361" s="5"/>
    </row>
    <row r="362">
      <c r="D362" s="5"/>
    </row>
    <row r="363">
      <c r="D363" s="5"/>
    </row>
    <row r="364">
      <c r="D364" s="5"/>
    </row>
    <row r="365">
      <c r="D365" s="5"/>
    </row>
    <row r="366">
      <c r="D366" s="5"/>
    </row>
    <row r="367">
      <c r="D367" s="5"/>
    </row>
    <row r="368">
      <c r="D368" s="5"/>
    </row>
    <row r="369">
      <c r="D369" s="5"/>
    </row>
    <row r="370">
      <c r="D370" s="5"/>
    </row>
    <row r="371">
      <c r="D371" s="5"/>
    </row>
    <row r="372">
      <c r="D372" s="5"/>
    </row>
    <row r="373">
      <c r="D373" s="5"/>
    </row>
    <row r="374">
      <c r="D374" s="5"/>
    </row>
    <row r="375">
      <c r="D375" s="5"/>
    </row>
    <row r="376">
      <c r="D376" s="5"/>
    </row>
    <row r="377">
      <c r="D377" s="5"/>
    </row>
    <row r="378">
      <c r="D378" s="5"/>
    </row>
    <row r="379">
      <c r="D379" s="5"/>
    </row>
    <row r="380">
      <c r="D380" s="5"/>
    </row>
    <row r="381">
      <c r="D381" s="5"/>
    </row>
    <row r="382">
      <c r="D382" s="5"/>
    </row>
    <row r="383">
      <c r="D383" s="5"/>
    </row>
    <row r="384">
      <c r="D384" s="5"/>
    </row>
    <row r="385">
      <c r="D385" s="5"/>
    </row>
    <row r="386">
      <c r="D386" s="5"/>
    </row>
    <row r="387">
      <c r="D387" s="5"/>
    </row>
    <row r="388">
      <c r="D388" s="5"/>
    </row>
    <row r="389">
      <c r="D389" s="5"/>
    </row>
    <row r="390">
      <c r="D390" s="5"/>
    </row>
    <row r="391">
      <c r="D391" s="5"/>
    </row>
    <row r="392">
      <c r="D392" s="5"/>
    </row>
    <row r="393">
      <c r="D393" s="5"/>
    </row>
    <row r="394">
      <c r="D394" s="5"/>
    </row>
    <row r="395">
      <c r="D395" s="5"/>
    </row>
    <row r="396">
      <c r="D396" s="5"/>
    </row>
    <row r="397">
      <c r="D397" s="5"/>
    </row>
    <row r="398">
      <c r="D398" s="5"/>
    </row>
    <row r="399">
      <c r="D399" s="5"/>
    </row>
    <row r="400">
      <c r="D400" s="5"/>
    </row>
    <row r="401">
      <c r="D401" s="5"/>
    </row>
    <row r="402">
      <c r="D402" s="5"/>
    </row>
    <row r="403">
      <c r="D403" s="5"/>
    </row>
    <row r="404">
      <c r="D404" s="5"/>
    </row>
    <row r="405">
      <c r="D405" s="5"/>
    </row>
    <row r="406">
      <c r="D406" s="5"/>
    </row>
    <row r="407">
      <c r="D407" s="5"/>
    </row>
    <row r="408">
      <c r="D408" s="5"/>
    </row>
    <row r="409">
      <c r="D409" s="5"/>
    </row>
    <row r="410">
      <c r="D410" s="5"/>
    </row>
    <row r="411">
      <c r="D411" s="5"/>
    </row>
    <row r="412">
      <c r="D412" s="5"/>
    </row>
    <row r="413">
      <c r="D413" s="5"/>
    </row>
    <row r="414">
      <c r="D414" s="5"/>
    </row>
    <row r="415">
      <c r="D415" s="5"/>
    </row>
    <row r="416">
      <c r="D416" s="5"/>
    </row>
    <row r="417">
      <c r="D417" s="5"/>
    </row>
    <row r="418">
      <c r="D418" s="5"/>
    </row>
    <row r="419">
      <c r="D419" s="5"/>
    </row>
    <row r="420">
      <c r="D420" s="5"/>
    </row>
    <row r="421">
      <c r="D421" s="5"/>
    </row>
    <row r="422">
      <c r="D422" s="5"/>
    </row>
    <row r="423">
      <c r="D423" s="5"/>
    </row>
    <row r="424">
      <c r="D424" s="5"/>
    </row>
    <row r="425">
      <c r="D425" s="5"/>
    </row>
    <row r="426">
      <c r="D426" s="5"/>
    </row>
    <row r="427">
      <c r="D427" s="5"/>
    </row>
    <row r="428">
      <c r="D428" s="5"/>
    </row>
    <row r="429">
      <c r="D429" s="5"/>
    </row>
    <row r="430">
      <c r="D430" s="5"/>
    </row>
    <row r="431">
      <c r="D431" s="5"/>
    </row>
    <row r="432">
      <c r="D432" s="5"/>
    </row>
    <row r="433">
      <c r="D433" s="5"/>
    </row>
    <row r="434">
      <c r="D434" s="5"/>
    </row>
    <row r="435">
      <c r="D435" s="5"/>
    </row>
    <row r="436">
      <c r="D436" s="5"/>
    </row>
    <row r="437">
      <c r="D437" s="5"/>
    </row>
    <row r="438">
      <c r="D438" s="5"/>
    </row>
    <row r="439">
      <c r="D439" s="5"/>
    </row>
    <row r="440">
      <c r="D440" s="5"/>
    </row>
    <row r="441">
      <c r="D441" s="5"/>
    </row>
    <row r="442">
      <c r="D442" s="5"/>
    </row>
    <row r="443">
      <c r="D443" s="5"/>
    </row>
    <row r="444">
      <c r="D444" s="5"/>
    </row>
    <row r="445">
      <c r="D445" s="5"/>
    </row>
    <row r="446">
      <c r="D446" s="5"/>
    </row>
    <row r="447">
      <c r="D447" s="5"/>
    </row>
    <row r="448">
      <c r="D448" s="5"/>
    </row>
    <row r="449">
      <c r="D449" s="5"/>
    </row>
    <row r="450">
      <c r="D450" s="5"/>
    </row>
    <row r="451">
      <c r="D451" s="5"/>
    </row>
    <row r="452">
      <c r="D452" s="5"/>
    </row>
    <row r="453">
      <c r="D453" s="5"/>
    </row>
    <row r="454">
      <c r="D454" s="5"/>
    </row>
    <row r="455">
      <c r="D455" s="5"/>
    </row>
    <row r="456">
      <c r="D456" s="5"/>
    </row>
    <row r="457">
      <c r="D457" s="5"/>
    </row>
    <row r="458">
      <c r="D458" s="5"/>
    </row>
    <row r="459">
      <c r="D459" s="5"/>
    </row>
    <row r="460">
      <c r="D460" s="5"/>
    </row>
    <row r="461">
      <c r="D461" s="5"/>
    </row>
    <row r="462">
      <c r="D462" s="5"/>
    </row>
    <row r="463">
      <c r="D463" s="5"/>
    </row>
    <row r="464">
      <c r="D464" s="5"/>
    </row>
    <row r="465">
      <c r="D465" s="5"/>
    </row>
    <row r="466">
      <c r="D466" s="5"/>
    </row>
    <row r="467">
      <c r="D467" s="5"/>
    </row>
    <row r="468">
      <c r="D468" s="5"/>
    </row>
    <row r="469">
      <c r="D469" s="5"/>
    </row>
    <row r="470">
      <c r="D470" s="5"/>
    </row>
    <row r="471">
      <c r="D471" s="5"/>
    </row>
    <row r="472">
      <c r="D472" s="5"/>
    </row>
    <row r="473">
      <c r="D473" s="5"/>
    </row>
    <row r="474">
      <c r="D474" s="5"/>
    </row>
    <row r="475">
      <c r="D475" s="5"/>
    </row>
    <row r="476">
      <c r="D476" s="5"/>
    </row>
    <row r="477">
      <c r="D477" s="5"/>
    </row>
    <row r="478">
      <c r="D478" s="5"/>
    </row>
    <row r="479">
      <c r="D479" s="5"/>
    </row>
    <row r="480">
      <c r="D480" s="5"/>
    </row>
    <row r="481">
      <c r="D481" s="5"/>
    </row>
    <row r="482">
      <c r="D482" s="5"/>
    </row>
    <row r="483">
      <c r="D483" s="5"/>
    </row>
    <row r="484">
      <c r="D484" s="5"/>
    </row>
    <row r="485">
      <c r="D485" s="5"/>
    </row>
    <row r="486">
      <c r="D486" s="5"/>
    </row>
    <row r="487">
      <c r="D487" s="5"/>
    </row>
    <row r="488">
      <c r="D488" s="5"/>
    </row>
    <row r="489">
      <c r="D489" s="5"/>
    </row>
    <row r="490">
      <c r="D490" s="5"/>
    </row>
    <row r="491">
      <c r="D491" s="5"/>
    </row>
    <row r="492">
      <c r="D492" s="5"/>
    </row>
    <row r="493">
      <c r="D493" s="5"/>
    </row>
    <row r="494">
      <c r="D494" s="5"/>
    </row>
    <row r="495">
      <c r="D495" s="5"/>
    </row>
    <row r="496">
      <c r="D496" s="5"/>
    </row>
    <row r="497">
      <c r="D497" s="5"/>
    </row>
    <row r="498">
      <c r="D498" s="5"/>
    </row>
    <row r="499">
      <c r="D499" s="5"/>
    </row>
    <row r="500">
      <c r="D500" s="5"/>
    </row>
    <row r="501">
      <c r="D501" s="5"/>
    </row>
    <row r="502">
      <c r="D502" s="5"/>
    </row>
    <row r="503">
      <c r="D503" s="5"/>
    </row>
    <row r="504">
      <c r="D504" s="5"/>
    </row>
    <row r="505">
      <c r="D505" s="5"/>
    </row>
    <row r="506">
      <c r="D506" s="5"/>
    </row>
    <row r="507">
      <c r="D507" s="5"/>
    </row>
    <row r="508">
      <c r="D508" s="5"/>
    </row>
    <row r="509">
      <c r="D509" s="5"/>
    </row>
    <row r="510">
      <c r="D510" s="5"/>
    </row>
    <row r="511">
      <c r="D511" s="5"/>
    </row>
    <row r="512">
      <c r="D512" s="5"/>
    </row>
    <row r="513">
      <c r="D513" s="5"/>
    </row>
    <row r="514">
      <c r="D514" s="5"/>
    </row>
    <row r="515">
      <c r="D515" s="5"/>
    </row>
    <row r="516">
      <c r="D516" s="5"/>
    </row>
    <row r="517">
      <c r="D517" s="5"/>
    </row>
    <row r="518">
      <c r="D518" s="5"/>
    </row>
    <row r="519">
      <c r="D519" s="5"/>
    </row>
    <row r="520">
      <c r="D520" s="5"/>
    </row>
    <row r="521">
      <c r="D521" s="5"/>
    </row>
    <row r="522">
      <c r="D522" s="5"/>
    </row>
    <row r="523">
      <c r="D523" s="5"/>
    </row>
    <row r="524">
      <c r="D524" s="5"/>
    </row>
    <row r="525">
      <c r="D525" s="5"/>
    </row>
    <row r="526">
      <c r="D526" s="5"/>
    </row>
    <row r="527">
      <c r="D527" s="5"/>
    </row>
    <row r="528">
      <c r="D528" s="5"/>
    </row>
    <row r="529">
      <c r="D529" s="5"/>
    </row>
    <row r="530">
      <c r="D530" s="5"/>
    </row>
    <row r="531">
      <c r="D531" s="5"/>
    </row>
    <row r="532">
      <c r="D532" s="5"/>
    </row>
    <row r="533">
      <c r="D533" s="5"/>
    </row>
    <row r="534">
      <c r="D534" s="5"/>
    </row>
    <row r="535">
      <c r="D535" s="5"/>
    </row>
    <row r="536">
      <c r="D536" s="5"/>
    </row>
    <row r="537">
      <c r="D537" s="5"/>
    </row>
    <row r="538">
      <c r="D538" s="5"/>
    </row>
    <row r="539">
      <c r="D539" s="5"/>
    </row>
    <row r="540">
      <c r="D540" s="5"/>
    </row>
    <row r="541">
      <c r="D541" s="5"/>
    </row>
    <row r="542">
      <c r="D542" s="5"/>
    </row>
    <row r="543">
      <c r="D543" s="5"/>
    </row>
    <row r="544">
      <c r="D544" s="5"/>
    </row>
    <row r="545">
      <c r="D545" s="5"/>
    </row>
    <row r="546">
      <c r="D546" s="5"/>
    </row>
    <row r="547">
      <c r="D547" s="5"/>
    </row>
    <row r="548">
      <c r="D548" s="5"/>
    </row>
    <row r="549">
      <c r="D549" s="5"/>
    </row>
    <row r="550">
      <c r="D550" s="5"/>
    </row>
    <row r="551">
      <c r="D551" s="5"/>
    </row>
    <row r="552">
      <c r="D552" s="5"/>
    </row>
    <row r="553">
      <c r="D553" s="5"/>
    </row>
    <row r="554">
      <c r="D554" s="5"/>
    </row>
    <row r="555">
      <c r="D555" s="5"/>
    </row>
    <row r="556">
      <c r="D556" s="5"/>
    </row>
    <row r="557">
      <c r="D557" s="5"/>
    </row>
    <row r="558">
      <c r="D558" s="5"/>
    </row>
    <row r="559">
      <c r="D559" s="5"/>
    </row>
    <row r="560">
      <c r="D560" s="5"/>
    </row>
    <row r="561">
      <c r="D561" s="5"/>
    </row>
    <row r="562">
      <c r="D562" s="5"/>
    </row>
    <row r="563">
      <c r="D563" s="5"/>
    </row>
    <row r="564">
      <c r="D564" s="5"/>
    </row>
    <row r="565">
      <c r="D565" s="5"/>
    </row>
    <row r="566">
      <c r="D566" s="5"/>
    </row>
    <row r="567">
      <c r="D567" s="5"/>
    </row>
    <row r="568">
      <c r="D568" s="5"/>
    </row>
    <row r="569">
      <c r="D569" s="5"/>
    </row>
    <row r="570">
      <c r="D570" s="5"/>
    </row>
    <row r="571">
      <c r="D571" s="5"/>
    </row>
    <row r="572">
      <c r="D572" s="5"/>
    </row>
    <row r="573">
      <c r="D573" s="5"/>
    </row>
    <row r="574">
      <c r="D574" s="5"/>
    </row>
    <row r="575">
      <c r="D575" s="5"/>
    </row>
    <row r="576">
      <c r="D576" s="5"/>
    </row>
    <row r="577">
      <c r="D577" s="5"/>
    </row>
    <row r="578">
      <c r="D578" s="5"/>
    </row>
    <row r="579">
      <c r="D579" s="5"/>
    </row>
    <row r="580">
      <c r="D580" s="5"/>
    </row>
    <row r="581">
      <c r="D581" s="5"/>
    </row>
    <row r="582">
      <c r="D582" s="5"/>
    </row>
    <row r="583">
      <c r="D583" s="5"/>
    </row>
    <row r="584">
      <c r="D584" s="5"/>
    </row>
    <row r="585">
      <c r="D585" s="5"/>
    </row>
    <row r="586">
      <c r="D586" s="5"/>
    </row>
    <row r="587">
      <c r="D587" s="5"/>
    </row>
    <row r="588">
      <c r="D588" s="5"/>
    </row>
    <row r="589">
      <c r="D589" s="5"/>
    </row>
    <row r="590">
      <c r="D590" s="5"/>
    </row>
    <row r="591">
      <c r="D591" s="5"/>
    </row>
    <row r="592">
      <c r="D592" s="5"/>
    </row>
    <row r="593">
      <c r="D593" s="5"/>
    </row>
    <row r="594">
      <c r="D594" s="5"/>
    </row>
    <row r="595">
      <c r="D595" s="5"/>
    </row>
    <row r="596">
      <c r="D596" s="5"/>
    </row>
    <row r="597">
      <c r="D597" s="5"/>
    </row>
    <row r="598">
      <c r="D598" s="5"/>
    </row>
    <row r="599">
      <c r="D599" s="5"/>
    </row>
    <row r="600">
      <c r="D600" s="5"/>
    </row>
    <row r="601">
      <c r="D601" s="5"/>
    </row>
    <row r="602">
      <c r="D602" s="5"/>
    </row>
    <row r="603">
      <c r="D603" s="5"/>
    </row>
    <row r="604">
      <c r="D604" s="5"/>
    </row>
    <row r="605">
      <c r="D605" s="5"/>
    </row>
    <row r="606">
      <c r="D606" s="5"/>
    </row>
    <row r="607">
      <c r="D607" s="5"/>
    </row>
    <row r="608">
      <c r="D608" s="5"/>
    </row>
    <row r="609">
      <c r="D609" s="5"/>
    </row>
    <row r="610">
      <c r="D610" s="5"/>
    </row>
    <row r="611">
      <c r="D611" s="5"/>
    </row>
    <row r="612">
      <c r="D612" s="5"/>
    </row>
    <row r="613">
      <c r="D613" s="5"/>
    </row>
    <row r="614">
      <c r="D614" s="5"/>
    </row>
    <row r="615">
      <c r="D615" s="5"/>
    </row>
    <row r="616">
      <c r="D616" s="5"/>
    </row>
    <row r="617">
      <c r="D617" s="5"/>
    </row>
    <row r="618">
      <c r="D618" s="5"/>
    </row>
    <row r="619">
      <c r="D619" s="5"/>
    </row>
    <row r="620">
      <c r="D620" s="5"/>
    </row>
    <row r="621">
      <c r="D621" s="5"/>
    </row>
    <row r="622">
      <c r="D622" s="5"/>
    </row>
    <row r="623">
      <c r="D623" s="5"/>
    </row>
    <row r="624">
      <c r="D624" s="5"/>
    </row>
    <row r="625">
      <c r="D625" s="5"/>
    </row>
    <row r="626">
      <c r="D626" s="5"/>
    </row>
    <row r="627">
      <c r="D627" s="5"/>
    </row>
    <row r="628">
      <c r="D628" s="5"/>
    </row>
    <row r="629">
      <c r="D629" s="5"/>
    </row>
    <row r="630">
      <c r="D630" s="5"/>
    </row>
    <row r="631">
      <c r="D631" s="5"/>
    </row>
    <row r="632">
      <c r="D632" s="5"/>
    </row>
    <row r="633">
      <c r="D633" s="5"/>
    </row>
    <row r="634">
      <c r="D634" s="5"/>
    </row>
    <row r="635">
      <c r="D635" s="5"/>
    </row>
    <row r="636">
      <c r="D636" s="5"/>
    </row>
    <row r="637">
      <c r="D637" s="5"/>
    </row>
    <row r="638">
      <c r="D638" s="5"/>
    </row>
    <row r="639">
      <c r="D639" s="5"/>
    </row>
    <row r="640">
      <c r="D640" s="5"/>
    </row>
    <row r="641">
      <c r="D641" s="5"/>
    </row>
    <row r="642">
      <c r="D642" s="5"/>
    </row>
    <row r="643">
      <c r="D643" s="5"/>
    </row>
    <row r="644">
      <c r="D644" s="5"/>
    </row>
    <row r="645">
      <c r="D645" s="5"/>
    </row>
    <row r="646">
      <c r="D646" s="5"/>
    </row>
    <row r="647">
      <c r="D647" s="5"/>
    </row>
    <row r="648">
      <c r="D648" s="5"/>
    </row>
    <row r="649">
      <c r="D649" s="5"/>
    </row>
    <row r="650">
      <c r="D650" s="5"/>
    </row>
    <row r="651">
      <c r="D651" s="5"/>
    </row>
    <row r="652">
      <c r="D652" s="5"/>
    </row>
    <row r="653">
      <c r="D653" s="5"/>
    </row>
    <row r="654">
      <c r="D654" s="5"/>
    </row>
    <row r="655">
      <c r="D655" s="5"/>
    </row>
    <row r="656">
      <c r="D656" s="5"/>
    </row>
    <row r="657">
      <c r="D657" s="5"/>
    </row>
    <row r="658">
      <c r="D658" s="5"/>
    </row>
    <row r="659">
      <c r="D659" s="5"/>
    </row>
    <row r="660">
      <c r="D660" s="5"/>
    </row>
    <row r="661">
      <c r="D661" s="5"/>
    </row>
    <row r="662">
      <c r="D662" s="5"/>
    </row>
    <row r="663">
      <c r="D663" s="5"/>
    </row>
    <row r="664">
      <c r="D664" s="5"/>
    </row>
    <row r="665">
      <c r="D665" s="5"/>
    </row>
    <row r="666">
      <c r="D666" s="5"/>
    </row>
    <row r="667">
      <c r="D667" s="5"/>
    </row>
    <row r="668">
      <c r="D668" s="5"/>
    </row>
    <row r="669">
      <c r="D669" s="5"/>
    </row>
    <row r="670">
      <c r="D670" s="5"/>
    </row>
    <row r="671">
      <c r="D671" s="5"/>
    </row>
    <row r="672">
      <c r="D672" s="5"/>
    </row>
    <row r="673">
      <c r="D673" s="5"/>
    </row>
    <row r="674">
      <c r="D674" s="5"/>
    </row>
    <row r="675">
      <c r="D675" s="5"/>
    </row>
    <row r="676">
      <c r="D676" s="5"/>
    </row>
    <row r="677">
      <c r="D677" s="5"/>
    </row>
    <row r="678">
      <c r="D678" s="5"/>
    </row>
    <row r="679">
      <c r="D679" s="5"/>
    </row>
    <row r="680">
      <c r="D680" s="5"/>
    </row>
    <row r="681">
      <c r="D681" s="5"/>
    </row>
    <row r="682">
      <c r="D682" s="5"/>
    </row>
    <row r="683">
      <c r="D683" s="5"/>
    </row>
    <row r="684">
      <c r="D684" s="5"/>
    </row>
    <row r="685">
      <c r="D685" s="5"/>
    </row>
    <row r="686">
      <c r="D686" s="5"/>
    </row>
    <row r="687">
      <c r="D687" s="5"/>
    </row>
    <row r="688">
      <c r="D688" s="5"/>
    </row>
    <row r="689">
      <c r="D689" s="5"/>
    </row>
    <row r="690">
      <c r="D690" s="5"/>
    </row>
    <row r="691">
      <c r="D691" s="5"/>
    </row>
    <row r="692">
      <c r="D692" s="5"/>
    </row>
    <row r="693">
      <c r="D693" s="5"/>
    </row>
    <row r="694">
      <c r="D694" s="5"/>
    </row>
    <row r="695">
      <c r="D695" s="5"/>
    </row>
    <row r="696">
      <c r="D696" s="5"/>
    </row>
    <row r="697">
      <c r="D697" s="5"/>
    </row>
    <row r="698">
      <c r="D698" s="5"/>
    </row>
    <row r="699">
      <c r="D699" s="5"/>
    </row>
    <row r="700">
      <c r="D700" s="5"/>
    </row>
    <row r="701">
      <c r="D701" s="5"/>
    </row>
    <row r="702">
      <c r="D702" s="5"/>
    </row>
    <row r="703">
      <c r="D703" s="5"/>
    </row>
    <row r="704">
      <c r="D704" s="5"/>
    </row>
    <row r="705">
      <c r="D705" s="5"/>
    </row>
    <row r="706">
      <c r="D706" s="5"/>
    </row>
    <row r="707">
      <c r="D707" s="5"/>
    </row>
    <row r="708">
      <c r="D708" s="5"/>
    </row>
    <row r="709">
      <c r="D709" s="5"/>
    </row>
    <row r="710">
      <c r="D710" s="5"/>
    </row>
    <row r="711">
      <c r="D711" s="5"/>
    </row>
    <row r="712">
      <c r="D712" s="5"/>
    </row>
    <row r="713">
      <c r="D713" s="5"/>
    </row>
    <row r="714">
      <c r="D714" s="5"/>
    </row>
    <row r="715">
      <c r="D715" s="5"/>
    </row>
    <row r="716">
      <c r="D716" s="5"/>
    </row>
    <row r="717">
      <c r="D717" s="5"/>
    </row>
    <row r="718">
      <c r="D718" s="5"/>
    </row>
    <row r="719">
      <c r="D719" s="5"/>
    </row>
    <row r="720">
      <c r="D720" s="5"/>
    </row>
    <row r="721">
      <c r="D721" s="5"/>
    </row>
    <row r="722">
      <c r="D722" s="5"/>
    </row>
    <row r="723">
      <c r="D723" s="5"/>
    </row>
    <row r="724">
      <c r="D724" s="5"/>
    </row>
    <row r="725">
      <c r="D725" s="5"/>
    </row>
    <row r="726">
      <c r="D726" s="5"/>
    </row>
    <row r="727">
      <c r="D727" s="5"/>
    </row>
    <row r="728">
      <c r="D728" s="5"/>
    </row>
    <row r="729">
      <c r="D729" s="5"/>
    </row>
    <row r="730">
      <c r="D730" s="5"/>
    </row>
    <row r="731">
      <c r="D731" s="5"/>
    </row>
    <row r="732">
      <c r="D732" s="5"/>
    </row>
    <row r="733">
      <c r="D733" s="5"/>
    </row>
    <row r="734">
      <c r="D734" s="5"/>
    </row>
    <row r="735">
      <c r="D735" s="5"/>
    </row>
    <row r="736">
      <c r="D736" s="5"/>
    </row>
    <row r="737">
      <c r="D737" s="5"/>
    </row>
    <row r="738">
      <c r="D738" s="5"/>
    </row>
    <row r="739">
      <c r="D739" s="5"/>
    </row>
    <row r="740">
      <c r="D740" s="5"/>
    </row>
    <row r="741">
      <c r="D741" s="5"/>
    </row>
    <row r="742">
      <c r="D742" s="5"/>
    </row>
    <row r="743">
      <c r="D743" s="5"/>
    </row>
    <row r="744">
      <c r="D744" s="5"/>
    </row>
    <row r="745">
      <c r="D745" s="5"/>
    </row>
    <row r="746">
      <c r="D746" s="5"/>
    </row>
    <row r="747">
      <c r="D747" s="5"/>
    </row>
    <row r="748">
      <c r="D748" s="5"/>
    </row>
    <row r="749">
      <c r="D749" s="5"/>
    </row>
    <row r="750">
      <c r="D750" s="5"/>
    </row>
    <row r="751">
      <c r="D751" s="5"/>
    </row>
    <row r="752">
      <c r="D752" s="5"/>
    </row>
    <row r="753">
      <c r="D753" s="5"/>
    </row>
    <row r="754">
      <c r="D754" s="5"/>
    </row>
    <row r="755">
      <c r="D755" s="5"/>
    </row>
    <row r="756">
      <c r="D756" s="5"/>
    </row>
    <row r="757">
      <c r="D757" s="5"/>
    </row>
    <row r="758">
      <c r="D758" s="5"/>
    </row>
    <row r="759">
      <c r="D759" s="5"/>
    </row>
    <row r="760">
      <c r="D760" s="5"/>
    </row>
    <row r="761">
      <c r="D761" s="5"/>
    </row>
    <row r="762">
      <c r="D762" s="5"/>
    </row>
    <row r="763">
      <c r="D763" s="5"/>
    </row>
    <row r="764">
      <c r="D764" s="5"/>
    </row>
    <row r="765">
      <c r="D765" s="5"/>
    </row>
    <row r="766">
      <c r="D766" s="5"/>
    </row>
    <row r="767">
      <c r="D767" s="5"/>
    </row>
    <row r="768">
      <c r="D768" s="5"/>
    </row>
    <row r="769">
      <c r="D769" s="5"/>
    </row>
    <row r="770">
      <c r="D770" s="5"/>
    </row>
    <row r="771">
      <c r="D771" s="5"/>
    </row>
    <row r="772">
      <c r="D772" s="5"/>
    </row>
    <row r="773">
      <c r="D773" s="5"/>
    </row>
    <row r="774">
      <c r="D774" s="5"/>
    </row>
    <row r="775">
      <c r="D775" s="5"/>
    </row>
    <row r="776">
      <c r="D776" s="5"/>
    </row>
    <row r="777">
      <c r="D777" s="5"/>
    </row>
    <row r="778">
      <c r="D778" s="5"/>
    </row>
    <row r="779">
      <c r="D779" s="5"/>
    </row>
    <row r="780">
      <c r="D780" s="5"/>
    </row>
    <row r="781">
      <c r="D781" s="5"/>
    </row>
    <row r="782">
      <c r="D782" s="5"/>
    </row>
    <row r="783">
      <c r="D783" s="5"/>
    </row>
    <row r="784">
      <c r="D784" s="5"/>
    </row>
    <row r="785">
      <c r="D785" s="5"/>
    </row>
    <row r="786">
      <c r="D786" s="5"/>
    </row>
    <row r="787">
      <c r="D787" s="5"/>
    </row>
    <row r="788">
      <c r="D788" s="5"/>
    </row>
    <row r="789">
      <c r="D789" s="5"/>
    </row>
    <row r="790">
      <c r="D790" s="5"/>
    </row>
    <row r="791">
      <c r="D791" s="5"/>
    </row>
    <row r="792">
      <c r="D792" s="5"/>
    </row>
    <row r="793">
      <c r="D793" s="5"/>
    </row>
    <row r="794">
      <c r="D794" s="5"/>
    </row>
    <row r="795">
      <c r="D795" s="5"/>
    </row>
    <row r="796">
      <c r="D796" s="5"/>
    </row>
    <row r="797">
      <c r="D797" s="5"/>
    </row>
    <row r="798">
      <c r="D798" s="5"/>
    </row>
    <row r="799">
      <c r="D799" s="5"/>
    </row>
    <row r="800">
      <c r="D800" s="5"/>
    </row>
    <row r="801">
      <c r="D801" s="5"/>
    </row>
    <row r="802">
      <c r="D802" s="5"/>
    </row>
    <row r="803">
      <c r="D803" s="5"/>
    </row>
    <row r="804">
      <c r="D804" s="5"/>
    </row>
    <row r="805">
      <c r="D805" s="5"/>
    </row>
    <row r="806">
      <c r="D806" s="5"/>
    </row>
    <row r="807">
      <c r="D807" s="5"/>
    </row>
    <row r="808">
      <c r="D808" s="5"/>
    </row>
    <row r="809">
      <c r="D809" s="5"/>
    </row>
    <row r="810">
      <c r="D810" s="5"/>
    </row>
    <row r="811">
      <c r="D811" s="5"/>
    </row>
    <row r="812">
      <c r="D812" s="5"/>
    </row>
    <row r="813">
      <c r="D813" s="5"/>
    </row>
    <row r="814">
      <c r="D814" s="5"/>
    </row>
    <row r="815">
      <c r="D815" s="5"/>
    </row>
    <row r="816">
      <c r="D816" s="5"/>
    </row>
    <row r="817">
      <c r="D817" s="5"/>
    </row>
    <row r="818">
      <c r="D818" s="5"/>
    </row>
    <row r="819">
      <c r="D819" s="5"/>
    </row>
    <row r="820">
      <c r="D820" s="5"/>
    </row>
    <row r="821">
      <c r="D821" s="5"/>
    </row>
    <row r="822">
      <c r="D822" s="5"/>
    </row>
    <row r="823">
      <c r="D823" s="5"/>
    </row>
    <row r="824">
      <c r="D824" s="5"/>
    </row>
    <row r="825">
      <c r="D825" s="5"/>
    </row>
    <row r="826">
      <c r="D826" s="5"/>
    </row>
    <row r="827">
      <c r="D827" s="5"/>
    </row>
    <row r="828">
      <c r="D828" s="5"/>
    </row>
    <row r="829">
      <c r="D829" s="5"/>
    </row>
    <row r="830">
      <c r="D830" s="5"/>
    </row>
    <row r="831">
      <c r="D831" s="5"/>
    </row>
    <row r="832">
      <c r="D832" s="5"/>
    </row>
    <row r="833">
      <c r="D833" s="5"/>
    </row>
    <row r="834">
      <c r="D834" s="5"/>
    </row>
    <row r="835">
      <c r="D835" s="5"/>
    </row>
    <row r="836">
      <c r="D836" s="5"/>
    </row>
    <row r="837">
      <c r="D837" s="5"/>
    </row>
    <row r="838">
      <c r="D838" s="5"/>
    </row>
    <row r="839">
      <c r="D839" s="5"/>
    </row>
    <row r="840">
      <c r="D840" s="5"/>
    </row>
    <row r="841">
      <c r="D841" s="5"/>
    </row>
    <row r="842">
      <c r="D842" s="5"/>
    </row>
    <row r="843">
      <c r="D843" s="5"/>
    </row>
    <row r="844">
      <c r="D844" s="5"/>
    </row>
    <row r="845">
      <c r="D845" s="5"/>
    </row>
    <row r="846">
      <c r="D846" s="5"/>
    </row>
    <row r="847">
      <c r="D847" s="5"/>
    </row>
    <row r="848">
      <c r="D848" s="5"/>
    </row>
    <row r="849">
      <c r="D849" s="5"/>
    </row>
    <row r="850">
      <c r="D850" s="5"/>
    </row>
    <row r="851">
      <c r="D851" s="5"/>
    </row>
    <row r="852">
      <c r="D852" s="5"/>
    </row>
    <row r="853">
      <c r="D853" s="5"/>
    </row>
    <row r="854">
      <c r="D854" s="5"/>
    </row>
    <row r="855">
      <c r="D855" s="5"/>
    </row>
    <row r="856">
      <c r="D856" s="5"/>
    </row>
    <row r="857">
      <c r="D857" s="5"/>
    </row>
    <row r="858">
      <c r="D858" s="5"/>
    </row>
    <row r="859">
      <c r="D859" s="5"/>
    </row>
    <row r="860">
      <c r="D860" s="5"/>
    </row>
    <row r="861">
      <c r="D861" s="5"/>
    </row>
    <row r="862">
      <c r="D862" s="5"/>
    </row>
    <row r="863">
      <c r="D863" s="5"/>
    </row>
    <row r="864">
      <c r="D864" s="5"/>
    </row>
    <row r="865">
      <c r="D865" s="5"/>
    </row>
    <row r="866">
      <c r="D866" s="5"/>
    </row>
    <row r="867">
      <c r="D867" s="5"/>
    </row>
    <row r="868">
      <c r="D868" s="5"/>
    </row>
    <row r="869">
      <c r="D869" s="5"/>
    </row>
    <row r="870">
      <c r="D870" s="5"/>
    </row>
    <row r="871">
      <c r="D871" s="5"/>
    </row>
    <row r="872">
      <c r="D872" s="5"/>
    </row>
    <row r="873">
      <c r="D873" s="5"/>
    </row>
    <row r="874">
      <c r="D874" s="5"/>
    </row>
    <row r="875">
      <c r="D875" s="5"/>
    </row>
    <row r="876">
      <c r="D876" s="5"/>
    </row>
    <row r="877">
      <c r="D877" s="5"/>
    </row>
    <row r="878">
      <c r="D878" s="5"/>
    </row>
    <row r="879">
      <c r="D879" s="5"/>
    </row>
    <row r="880">
      <c r="D880" s="5"/>
    </row>
    <row r="881">
      <c r="D881" s="5"/>
    </row>
    <row r="882">
      <c r="D882" s="5"/>
    </row>
    <row r="883">
      <c r="D883" s="5"/>
    </row>
    <row r="884">
      <c r="D884" s="5"/>
    </row>
    <row r="885">
      <c r="D885" s="5"/>
    </row>
    <row r="886">
      <c r="D886" s="5"/>
    </row>
    <row r="887">
      <c r="D887" s="5"/>
    </row>
    <row r="888">
      <c r="D888" s="5"/>
    </row>
    <row r="889">
      <c r="D889" s="5"/>
    </row>
    <row r="890">
      <c r="D890" s="5"/>
    </row>
    <row r="891">
      <c r="D891" s="5"/>
    </row>
    <row r="892">
      <c r="D892" s="5"/>
    </row>
    <row r="893">
      <c r="D893" s="5"/>
    </row>
    <row r="894">
      <c r="D894" s="5"/>
    </row>
    <row r="895">
      <c r="D895" s="5"/>
    </row>
    <row r="896">
      <c r="D896" s="5"/>
    </row>
    <row r="897">
      <c r="D897" s="5"/>
    </row>
    <row r="898">
      <c r="D898" s="5"/>
    </row>
    <row r="899">
      <c r="D899" s="5"/>
    </row>
    <row r="900">
      <c r="D900" s="5"/>
    </row>
    <row r="901">
      <c r="D901" s="5"/>
    </row>
    <row r="902">
      <c r="D902" s="5"/>
    </row>
    <row r="903">
      <c r="D903" s="5"/>
    </row>
    <row r="904">
      <c r="D904" s="5"/>
    </row>
    <row r="905">
      <c r="D905" s="5"/>
    </row>
    <row r="906">
      <c r="D906" s="5"/>
    </row>
    <row r="907">
      <c r="D907" s="5"/>
    </row>
    <row r="908">
      <c r="D908" s="5"/>
    </row>
    <row r="909">
      <c r="D909" s="5"/>
    </row>
    <row r="910">
      <c r="D910" s="5"/>
    </row>
    <row r="911">
      <c r="D911" s="5"/>
    </row>
    <row r="912">
      <c r="D912" s="5"/>
    </row>
    <row r="913">
      <c r="D913" s="5"/>
    </row>
    <row r="914">
      <c r="D914" s="5"/>
    </row>
    <row r="915">
      <c r="D915" s="5"/>
    </row>
    <row r="916">
      <c r="D916" s="5"/>
    </row>
    <row r="917">
      <c r="D917" s="5"/>
    </row>
    <row r="918">
      <c r="D918" s="5"/>
    </row>
    <row r="919">
      <c r="D919" s="5"/>
    </row>
    <row r="920">
      <c r="D920" s="5"/>
    </row>
    <row r="921">
      <c r="D921" s="5"/>
    </row>
    <row r="922">
      <c r="D922" s="5"/>
    </row>
    <row r="923">
      <c r="D923" s="5"/>
    </row>
    <row r="924">
      <c r="D924" s="5"/>
    </row>
    <row r="925">
      <c r="D925" s="5"/>
    </row>
    <row r="926">
      <c r="D926" s="5"/>
    </row>
    <row r="927">
      <c r="D927" s="5"/>
    </row>
    <row r="928">
      <c r="D928" s="5"/>
    </row>
    <row r="929">
      <c r="D929" s="5"/>
    </row>
    <row r="930">
      <c r="D930" s="5"/>
    </row>
    <row r="931">
      <c r="D931" s="5"/>
    </row>
    <row r="932">
      <c r="D932" s="5"/>
    </row>
    <row r="933">
      <c r="D933" s="5"/>
    </row>
    <row r="934">
      <c r="D934" s="5"/>
    </row>
    <row r="935">
      <c r="D935" s="5"/>
    </row>
    <row r="936">
      <c r="D936" s="5"/>
    </row>
    <row r="937">
      <c r="D937" s="5"/>
    </row>
    <row r="938">
      <c r="D938" s="5"/>
    </row>
    <row r="939">
      <c r="D939" s="5"/>
    </row>
    <row r="940">
      <c r="D940" s="5"/>
    </row>
    <row r="941">
      <c r="D941" s="5"/>
    </row>
    <row r="942">
      <c r="D942" s="5"/>
    </row>
    <row r="943">
      <c r="D943" s="5"/>
    </row>
    <row r="944">
      <c r="D944" s="5"/>
    </row>
    <row r="945">
      <c r="D945" s="5"/>
    </row>
    <row r="946">
      <c r="D946" s="5"/>
    </row>
    <row r="947">
      <c r="D947" s="5"/>
    </row>
    <row r="948">
      <c r="D948" s="5"/>
    </row>
    <row r="949">
      <c r="D949" s="5"/>
    </row>
    <row r="950">
      <c r="D950" s="5"/>
    </row>
    <row r="951">
      <c r="D951" s="5"/>
    </row>
    <row r="952">
      <c r="D952" s="5"/>
    </row>
    <row r="953">
      <c r="D953" s="5"/>
    </row>
    <row r="954">
      <c r="D954" s="5"/>
    </row>
    <row r="955">
      <c r="D955" s="5"/>
    </row>
    <row r="956">
      <c r="D956" s="5"/>
    </row>
    <row r="957">
      <c r="D957" s="5"/>
    </row>
    <row r="958">
      <c r="D958" s="5"/>
    </row>
    <row r="959">
      <c r="D959" s="5"/>
    </row>
    <row r="960">
      <c r="D960" s="5"/>
    </row>
    <row r="961">
      <c r="D961" s="5"/>
    </row>
    <row r="962">
      <c r="D962" s="5"/>
    </row>
    <row r="963">
      <c r="D963" s="5"/>
    </row>
    <row r="964">
      <c r="D964" s="5"/>
    </row>
    <row r="965">
      <c r="D965" s="5"/>
    </row>
    <row r="966">
      <c r="D966" s="5"/>
    </row>
    <row r="967">
      <c r="D967" s="5"/>
    </row>
    <row r="968">
      <c r="D968" s="5"/>
    </row>
    <row r="969">
      <c r="D969" s="5"/>
    </row>
    <row r="970">
      <c r="D970" s="5"/>
    </row>
    <row r="971">
      <c r="D971" s="5"/>
    </row>
    <row r="972">
      <c r="D972" s="5"/>
    </row>
    <row r="973">
      <c r="D973" s="5"/>
    </row>
    <row r="974">
      <c r="D974" s="5"/>
    </row>
    <row r="975">
      <c r="D975" s="5"/>
    </row>
    <row r="976">
      <c r="D976" s="5"/>
    </row>
    <row r="977">
      <c r="D977" s="5"/>
    </row>
    <row r="978">
      <c r="D978" s="5"/>
    </row>
    <row r="979">
      <c r="D979" s="5"/>
    </row>
    <row r="980">
      <c r="D980" s="5"/>
    </row>
    <row r="981">
      <c r="D981" s="5"/>
    </row>
    <row r="982">
      <c r="D982" s="5"/>
    </row>
    <row r="983">
      <c r="D983" s="5"/>
    </row>
    <row r="984">
      <c r="D984" s="5"/>
    </row>
    <row r="985">
      <c r="D985" s="5"/>
    </row>
    <row r="986">
      <c r="D986" s="5"/>
    </row>
    <row r="987">
      <c r="D987" s="5"/>
    </row>
    <row r="988">
      <c r="D988" s="5"/>
    </row>
    <row r="989">
      <c r="D989" s="5"/>
    </row>
    <row r="990">
      <c r="D990" s="5"/>
    </row>
    <row r="991">
      <c r="D991" s="5"/>
    </row>
    <row r="992">
      <c r="D992" s="5"/>
    </row>
    <row r="993">
      <c r="D993" s="5"/>
    </row>
    <row r="994">
      <c r="D994" s="5"/>
    </row>
    <row r="995">
      <c r="D995" s="5"/>
    </row>
    <row r="996">
      <c r="D996" s="5"/>
    </row>
    <row r="997">
      <c r="D997" s="5"/>
    </row>
    <row r="998">
      <c r="D998" s="5"/>
    </row>
    <row r="999">
      <c r="D999" s="5"/>
    </row>
    <row r="1000">
      <c r="D1000" s="5"/>
    </row>
    <row r="1001">
      <c r="D1001" s="5"/>
    </row>
    <row r="1002">
      <c r="D1002" s="5"/>
    </row>
    <row r="1003">
      <c r="D1003" s="5"/>
    </row>
    <row r="1004">
      <c r="D1004" s="5"/>
    </row>
  </sheetData>
  <dataValidations>
    <dataValidation type="list" allowBlank="1" showErrorMessage="1" sqref="D2:D33 D40:D43 D45:D47 D49:D64">
      <formula1>"Oui,Non"</formula1>
    </dataValidation>
    <dataValidation type="list" allowBlank="1" sqref="B2:B69">
      <formula1>"Technologie,Centralised exchange,Decentralised exchange,Digital currency,Dapps,KPI,Digital wallet,Veille,Règlementation,Concurrent,SALON"</formula1>
    </dataValidation>
  </dataValidations>
  <hyperlinks>
    <hyperlink r:id="rId1" ref="E42"/>
    <hyperlink r:id="rId2" ref="E44"/>
    <hyperlink r:id="rId3" ref="E45"/>
    <hyperlink r:id="rId4" ref="E46"/>
    <hyperlink r:id="rId5" ref="E47"/>
    <hyperlink r:id="rId6" ref="E48"/>
    <hyperlink r:id="rId7" ref="E49"/>
    <hyperlink r:id="rId8" ref="E50"/>
    <hyperlink r:id="rId9" ref="E51"/>
    <hyperlink r:id="rId10" ref="E52"/>
    <hyperlink r:id="rId11" ref="E53"/>
    <hyperlink r:id="rId12" ref="E54"/>
    <hyperlink r:id="rId13" ref="E55"/>
    <hyperlink r:id="rId14" ref="A56"/>
    <hyperlink r:id="rId15" ref="E56"/>
    <hyperlink r:id="rId16" ref="E57"/>
    <hyperlink r:id="rId17" ref="E58"/>
    <hyperlink r:id="rId18" ref="E59"/>
    <hyperlink r:id="rId19" ref="E60"/>
  </hyperlinks>
  <drawing r:id="rId20"/>
  <tableParts count="1">
    <tablePart r:id="rId22"/>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44.38"/>
    <col customWidth="1" min="2" max="2" width="58.75"/>
    <col customWidth="1" min="3" max="3" width="57.13"/>
  </cols>
  <sheetData>
    <row r="1" ht="22.5" customHeight="1">
      <c r="A1" s="2" t="s">
        <v>146</v>
      </c>
      <c r="B1" s="2" t="s">
        <v>147</v>
      </c>
      <c r="C1" s="2" t="s">
        <v>148</v>
      </c>
    </row>
    <row r="2" ht="22.5" customHeight="1">
      <c r="A2" s="8" t="s">
        <v>149</v>
      </c>
      <c r="B2" s="19" t="s">
        <v>150</v>
      </c>
      <c r="C2" s="8" t="s">
        <v>151</v>
      </c>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24.5"/>
    <col customWidth="1" min="2" max="2" width="26.38"/>
    <col customWidth="1" min="3" max="3" width="88.88"/>
  </cols>
  <sheetData>
    <row r="1" ht="22.5" customHeight="1">
      <c r="A1" s="6" t="s">
        <v>0</v>
      </c>
      <c r="B1" s="6" t="s">
        <v>152</v>
      </c>
      <c r="C1" s="6" t="s">
        <v>153</v>
      </c>
    </row>
    <row r="2" ht="22.5" customHeight="1">
      <c r="A2" s="7" t="s">
        <v>154</v>
      </c>
      <c r="B2" s="7" t="s">
        <v>155</v>
      </c>
      <c r="C2" s="20" t="s">
        <v>156</v>
      </c>
    </row>
    <row r="3" ht="22.5" customHeight="1">
      <c r="A3" s="7" t="s">
        <v>157</v>
      </c>
      <c r="B3" s="7" t="s">
        <v>155</v>
      </c>
      <c r="C3" s="20" t="s">
        <v>158</v>
      </c>
    </row>
    <row r="4" ht="22.5" customHeight="1">
      <c r="A4" s="7" t="s">
        <v>159</v>
      </c>
      <c r="B4" s="7" t="s">
        <v>160</v>
      </c>
      <c r="C4" s="20" t="s">
        <v>161</v>
      </c>
    </row>
    <row r="5" ht="22.5" customHeight="1">
      <c r="A5" s="7" t="s">
        <v>162</v>
      </c>
      <c r="B5" s="7" t="s">
        <v>155</v>
      </c>
      <c r="C5" s="20" t="s">
        <v>163</v>
      </c>
    </row>
    <row r="6" ht="22.5" customHeight="1">
      <c r="A6" s="7" t="s">
        <v>164</v>
      </c>
      <c r="B6" s="12" t="s">
        <v>165</v>
      </c>
      <c r="C6" s="20" t="s">
        <v>166</v>
      </c>
    </row>
    <row r="7" ht="22.5" customHeight="1">
      <c r="A7" s="7" t="s">
        <v>167</v>
      </c>
      <c r="B7" s="12" t="s">
        <v>168</v>
      </c>
      <c r="C7" s="20" t="s">
        <v>169</v>
      </c>
    </row>
    <row r="8" ht="22.5" customHeight="1">
      <c r="A8" s="7" t="s">
        <v>170</v>
      </c>
      <c r="B8" s="12" t="s">
        <v>168</v>
      </c>
      <c r="C8" s="20" t="s">
        <v>171</v>
      </c>
    </row>
    <row r="9" ht="22.5" customHeight="1">
      <c r="A9" s="7" t="s">
        <v>172</v>
      </c>
      <c r="B9" s="12" t="s">
        <v>173</v>
      </c>
      <c r="C9" s="20" t="s">
        <v>174</v>
      </c>
    </row>
    <row r="10" ht="22.5" customHeight="1">
      <c r="A10" s="7" t="s">
        <v>175</v>
      </c>
      <c r="B10" s="12" t="s">
        <v>155</v>
      </c>
      <c r="C10" s="20" t="s">
        <v>176</v>
      </c>
    </row>
    <row r="11" ht="22.5" customHeight="1">
      <c r="A11" s="7" t="s">
        <v>177</v>
      </c>
      <c r="B11" s="12" t="s">
        <v>178</v>
      </c>
      <c r="C11" s="20" t="s">
        <v>179</v>
      </c>
    </row>
    <row r="12" ht="22.5" customHeight="1">
      <c r="A12" s="7" t="s">
        <v>180</v>
      </c>
      <c r="B12" s="12" t="s">
        <v>160</v>
      </c>
      <c r="C12" s="20" t="s">
        <v>181</v>
      </c>
    </row>
    <row r="13" ht="22.5" customHeight="1">
      <c r="A13" s="7" t="s">
        <v>182</v>
      </c>
      <c r="B13" s="12" t="s">
        <v>183</v>
      </c>
      <c r="C13" s="20" t="s">
        <v>184</v>
      </c>
    </row>
    <row r="14" ht="22.5" customHeight="1">
      <c r="A14" s="7" t="s">
        <v>185</v>
      </c>
      <c r="B14" s="12" t="s">
        <v>183</v>
      </c>
      <c r="C14" s="20" t="s">
        <v>186</v>
      </c>
    </row>
  </sheetData>
  <dataValidations>
    <dataValidation type="list" allowBlank="1" sqref="B2:B14">
      <formula1>"Strength,Opportunity,Weakness,Threat"</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16.25"/>
    <col customWidth="1" min="3" max="3" width="14.88"/>
    <col customWidth="1" min="4" max="4" width="17.0"/>
    <col customWidth="1" min="5" max="5" width="16.5"/>
    <col customWidth="1" min="6" max="6" width="14.75"/>
  </cols>
  <sheetData>
    <row r="1">
      <c r="A1" s="21">
        <v>45903.0</v>
      </c>
      <c r="B1" s="22">
        <v>45901.0</v>
      </c>
      <c r="C1" s="23">
        <v>45931.0</v>
      </c>
      <c r="D1" s="22">
        <v>45962.0</v>
      </c>
      <c r="E1" s="23">
        <v>45992.0</v>
      </c>
      <c r="F1" s="22">
        <v>46054.0</v>
      </c>
      <c r="G1" s="23">
        <v>46113.0</v>
      </c>
      <c r="H1" s="22">
        <v>46143.0</v>
      </c>
      <c r="I1" s="23">
        <v>46174.0</v>
      </c>
    </row>
    <row r="2">
      <c r="A2" s="24" t="s">
        <v>187</v>
      </c>
      <c r="B2" s="25" t="s">
        <v>188</v>
      </c>
      <c r="C2" s="24" t="s">
        <v>189</v>
      </c>
      <c r="D2" s="25" t="s">
        <v>190</v>
      </c>
      <c r="E2" s="24" t="s">
        <v>191</v>
      </c>
      <c r="F2" s="25" t="s">
        <v>192</v>
      </c>
      <c r="G2" s="24" t="s">
        <v>193</v>
      </c>
      <c r="H2" s="25" t="s">
        <v>194</v>
      </c>
      <c r="I2" s="24" t="s">
        <v>195</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3" max="3" width="34.38"/>
    <col customWidth="1" min="4" max="4" width="29.25"/>
    <col customWidth="1" min="5" max="5" width="31.63"/>
    <col customWidth="1" min="6" max="6" width="75.0"/>
    <col customWidth="1" min="7" max="7" width="46.38"/>
    <col customWidth="1" min="8" max="8" width="13.0"/>
  </cols>
  <sheetData>
    <row r="1" ht="22.5" customHeight="1">
      <c r="A1" s="6" t="s">
        <v>196</v>
      </c>
      <c r="B1" s="6" t="s">
        <v>197</v>
      </c>
      <c r="C1" s="26" t="s">
        <v>198</v>
      </c>
      <c r="D1" s="6" t="s">
        <v>199</v>
      </c>
      <c r="E1" s="6" t="s">
        <v>200</v>
      </c>
      <c r="F1" s="6" t="s">
        <v>201</v>
      </c>
      <c r="G1" s="6" t="s">
        <v>202</v>
      </c>
    </row>
    <row r="2" ht="49.5" customHeight="1">
      <c r="A2" s="27" t="s">
        <v>203</v>
      </c>
      <c r="B2" s="28">
        <v>1.0</v>
      </c>
      <c r="C2" s="29" t="s">
        <v>204</v>
      </c>
      <c r="D2" s="29" t="s">
        <v>205</v>
      </c>
      <c r="E2" s="29" t="s">
        <v>206</v>
      </c>
      <c r="F2" s="29" t="s">
        <v>207</v>
      </c>
      <c r="G2" s="29" t="s">
        <v>208</v>
      </c>
    </row>
    <row r="3" ht="57.0" customHeight="1">
      <c r="A3" s="30" t="s">
        <v>209</v>
      </c>
      <c r="B3" s="31">
        <v>2.0</v>
      </c>
      <c r="C3" s="32" t="s">
        <v>210</v>
      </c>
      <c r="D3" s="32" t="s">
        <v>211</v>
      </c>
      <c r="E3" s="32" t="s">
        <v>212</v>
      </c>
      <c r="F3" s="32" t="s">
        <v>213</v>
      </c>
      <c r="G3" s="32" t="s">
        <v>214</v>
      </c>
    </row>
    <row r="4" ht="45.0" customHeight="1">
      <c r="A4" s="27"/>
      <c r="B4" s="28">
        <v>3.0</v>
      </c>
      <c r="C4" s="29" t="s">
        <v>215</v>
      </c>
      <c r="D4" s="29" t="s">
        <v>216</v>
      </c>
      <c r="E4" s="29" t="s">
        <v>217</v>
      </c>
      <c r="F4" s="29" t="s">
        <v>218</v>
      </c>
      <c r="G4" s="29" t="s">
        <v>219</v>
      </c>
    </row>
    <row r="5" ht="48.75" customHeight="1">
      <c r="A5" s="30" t="s">
        <v>220</v>
      </c>
      <c r="B5" s="31">
        <v>4.0</v>
      </c>
      <c r="C5" s="32" t="s">
        <v>221</v>
      </c>
      <c r="D5" s="32" t="s">
        <v>222</v>
      </c>
      <c r="E5" s="32" t="s">
        <v>223</v>
      </c>
      <c r="F5" s="32" t="s">
        <v>224</v>
      </c>
      <c r="G5" s="32" t="s">
        <v>225</v>
      </c>
    </row>
    <row r="6" ht="62.25" customHeight="1">
      <c r="A6" s="27"/>
      <c r="B6" s="28">
        <v>5.0</v>
      </c>
      <c r="C6" s="29" t="s">
        <v>226</v>
      </c>
      <c r="D6" s="29" t="s">
        <v>227</v>
      </c>
      <c r="E6" s="29" t="s">
        <v>228</v>
      </c>
      <c r="F6" s="29" t="s">
        <v>229</v>
      </c>
      <c r="G6" s="29" t="s">
        <v>230</v>
      </c>
    </row>
    <row r="7" ht="61.5" customHeight="1">
      <c r="A7" s="27" t="s">
        <v>231</v>
      </c>
      <c r="B7" s="28">
        <v>6.0</v>
      </c>
      <c r="C7" s="29" t="s">
        <v>232</v>
      </c>
      <c r="D7" s="29" t="s">
        <v>233</v>
      </c>
      <c r="E7" s="29" t="s">
        <v>234</v>
      </c>
      <c r="F7" s="29" t="s">
        <v>235</v>
      </c>
      <c r="G7" s="29" t="s">
        <v>236</v>
      </c>
    </row>
    <row r="8" ht="53.25" customHeight="1">
      <c r="A8" s="27" t="s">
        <v>237</v>
      </c>
      <c r="B8" s="28">
        <v>7.0</v>
      </c>
      <c r="C8" s="29" t="s">
        <v>238</v>
      </c>
      <c r="D8" s="29" t="s">
        <v>239</v>
      </c>
      <c r="E8" s="29" t="s">
        <v>240</v>
      </c>
      <c r="F8" s="29" t="s">
        <v>241</v>
      </c>
      <c r="G8" s="29" t="s">
        <v>242</v>
      </c>
    </row>
    <row r="9" ht="42.75" customHeight="1">
      <c r="A9" s="30" t="s">
        <v>243</v>
      </c>
      <c r="B9" s="31">
        <v>8.0</v>
      </c>
      <c r="C9" s="32" t="s">
        <v>244</v>
      </c>
      <c r="D9" s="32" t="s">
        <v>245</v>
      </c>
      <c r="E9" s="32" t="s">
        <v>246</v>
      </c>
      <c r="F9" s="32" t="s">
        <v>247</v>
      </c>
      <c r="G9" s="32" t="s">
        <v>248</v>
      </c>
    </row>
    <row r="10" ht="42.0" customHeight="1">
      <c r="A10" s="28"/>
      <c r="B10" s="28">
        <v>9.0</v>
      </c>
      <c r="C10" s="29" t="s">
        <v>249</v>
      </c>
      <c r="D10" s="33" t="s">
        <v>250</v>
      </c>
      <c r="E10" s="29" t="s">
        <v>251</v>
      </c>
      <c r="F10" s="29"/>
      <c r="G10" s="29" t="s">
        <v>252</v>
      </c>
    </row>
    <row r="11" ht="64.5" customHeight="1">
      <c r="A11" s="31"/>
      <c r="B11" s="31">
        <v>10.0</v>
      </c>
      <c r="C11" s="32" t="s">
        <v>253</v>
      </c>
      <c r="D11" s="32" t="s">
        <v>254</v>
      </c>
      <c r="E11" s="32" t="s">
        <v>255</v>
      </c>
      <c r="F11" s="32" t="s">
        <v>256</v>
      </c>
      <c r="G11" s="32" t="s">
        <v>257</v>
      </c>
    </row>
  </sheetData>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63"/>
    <col customWidth="1" min="2" max="2" width="70.25"/>
    <col customWidth="1" min="3" max="3" width="16.0"/>
    <col customWidth="1" min="4" max="4" width="89.63"/>
  </cols>
  <sheetData>
    <row r="1" ht="22.5" customHeight="1">
      <c r="A1" s="6" t="s">
        <v>258</v>
      </c>
      <c r="B1" s="6" t="s">
        <v>259</v>
      </c>
      <c r="C1" s="26" t="s">
        <v>260</v>
      </c>
      <c r="D1" s="6" t="s">
        <v>261</v>
      </c>
      <c r="E1" s="34" t="s">
        <v>262</v>
      </c>
    </row>
    <row r="2" ht="22.5" customHeight="1">
      <c r="A2" s="7" t="s">
        <v>263</v>
      </c>
      <c r="B2" s="35" t="s">
        <v>264</v>
      </c>
      <c r="C2" s="7" t="s">
        <v>265</v>
      </c>
      <c r="E2" s="14"/>
    </row>
    <row r="3" ht="22.5" customHeight="1">
      <c r="A3" s="7" t="s">
        <v>266</v>
      </c>
      <c r="B3" s="35" t="s">
        <v>267</v>
      </c>
      <c r="C3" s="7" t="s">
        <v>265</v>
      </c>
      <c r="E3" s="14"/>
    </row>
    <row r="4" ht="22.5" customHeight="1">
      <c r="A4" s="7" t="s">
        <v>268</v>
      </c>
      <c r="B4" s="36" t="s">
        <v>269</v>
      </c>
      <c r="C4" s="7" t="s">
        <v>265</v>
      </c>
      <c r="E4" s="14"/>
    </row>
    <row r="5" ht="22.5" customHeight="1">
      <c r="A5" s="13" t="s">
        <v>270</v>
      </c>
      <c r="B5" s="15" t="s">
        <v>271</v>
      </c>
      <c r="C5" s="7" t="s">
        <v>265</v>
      </c>
      <c r="D5" s="13" t="s">
        <v>272</v>
      </c>
      <c r="E5" s="14"/>
    </row>
    <row r="6" ht="22.5" customHeight="1">
      <c r="A6" s="13" t="s">
        <v>273</v>
      </c>
      <c r="B6" s="37" t="s">
        <v>274</v>
      </c>
      <c r="C6" s="7" t="s">
        <v>265</v>
      </c>
      <c r="D6" s="14"/>
      <c r="E6" s="14"/>
    </row>
    <row r="7" ht="22.5" customHeight="1">
      <c r="A7" s="13" t="s">
        <v>275</v>
      </c>
      <c r="B7" s="16" t="s">
        <v>276</v>
      </c>
      <c r="C7" s="7" t="s">
        <v>265</v>
      </c>
      <c r="D7" s="14"/>
      <c r="E7" s="14"/>
    </row>
    <row r="8" ht="22.5" customHeight="1">
      <c r="A8" s="13" t="s">
        <v>277</v>
      </c>
      <c r="B8" s="37" t="s">
        <v>278</v>
      </c>
      <c r="C8" s="7" t="s">
        <v>265</v>
      </c>
      <c r="D8" s="14"/>
      <c r="E8" s="14"/>
    </row>
    <row r="9" ht="22.5" customHeight="1">
      <c r="A9" s="13" t="s">
        <v>95</v>
      </c>
      <c r="B9" s="16" t="s">
        <v>279</v>
      </c>
      <c r="C9" s="13" t="s">
        <v>91</v>
      </c>
      <c r="D9" s="13" t="s">
        <v>280</v>
      </c>
      <c r="E9" s="14"/>
    </row>
    <row r="10" ht="22.5" customHeight="1">
      <c r="A10" s="13" t="s">
        <v>110</v>
      </c>
      <c r="B10" s="16" t="s">
        <v>281</v>
      </c>
      <c r="C10" s="13" t="s">
        <v>91</v>
      </c>
      <c r="D10" s="13" t="s">
        <v>280</v>
      </c>
      <c r="E10" s="14"/>
    </row>
    <row r="11" ht="22.5" customHeight="1">
      <c r="A11" s="13" t="s">
        <v>282</v>
      </c>
      <c r="B11" s="16" t="s">
        <v>283</v>
      </c>
      <c r="C11" s="13" t="s">
        <v>91</v>
      </c>
      <c r="D11" s="13" t="s">
        <v>280</v>
      </c>
      <c r="E11" s="14"/>
    </row>
  </sheetData>
  <hyperlinks>
    <hyperlink r:id="rId1" ref="B2"/>
    <hyperlink r:id="rId2" ref="B3"/>
    <hyperlink r:id="rId3" ref="B4"/>
    <hyperlink r:id="rId4" ref="B5"/>
    <hyperlink r:id="rId5" ref="B6"/>
    <hyperlink r:id="rId6" location="order-book-trading-market-data" ref="B7"/>
    <hyperlink r:id="rId7" location="public-data" ref="B8"/>
    <hyperlink r:id="rId8" ref="B9"/>
    <hyperlink r:id="rId9" ref="B10"/>
    <hyperlink r:id="rId10" ref="B11"/>
  </hyperlinks>
  <drawing r:id="rId11"/>
  <tableParts count="1">
    <tablePart r:id="rId1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8.5"/>
    <col customWidth="1" min="3" max="3" width="24.5"/>
    <col customWidth="1" min="4" max="4" width="19.13"/>
    <col customWidth="1" min="5" max="5" width="14.38"/>
  </cols>
  <sheetData>
    <row r="1" ht="22.5" customHeight="1">
      <c r="A1" s="2" t="s">
        <v>284</v>
      </c>
      <c r="B1" s="2" t="s">
        <v>285</v>
      </c>
    </row>
    <row r="2" ht="22.5" customHeight="1">
      <c r="A2" s="7" t="s">
        <v>11</v>
      </c>
      <c r="B2" s="38">
        <v>0.9</v>
      </c>
    </row>
    <row r="3" ht="22.5" customHeight="1">
      <c r="A3" s="7" t="s">
        <v>9</v>
      </c>
      <c r="B3" s="38">
        <v>0.5</v>
      </c>
    </row>
    <row r="4" ht="22.5" customHeight="1">
      <c r="A4" s="7" t="s">
        <v>55</v>
      </c>
      <c r="B4" s="38">
        <v>0.45</v>
      </c>
    </row>
    <row r="5" ht="22.5" customHeight="1">
      <c r="A5" s="7" t="s">
        <v>286</v>
      </c>
      <c r="B5" s="38">
        <v>0.36</v>
      </c>
    </row>
    <row r="6" ht="22.5" customHeight="1">
      <c r="A6" s="7" t="s">
        <v>35</v>
      </c>
      <c r="B6" s="38">
        <v>0.27</v>
      </c>
    </row>
    <row r="7" ht="22.5" customHeight="1">
      <c r="A7" s="7" t="s">
        <v>32</v>
      </c>
      <c r="B7" s="38">
        <v>0.26</v>
      </c>
    </row>
    <row r="8" ht="22.5" customHeight="1">
      <c r="A8" s="7" t="s">
        <v>43</v>
      </c>
      <c r="B8" s="38">
        <v>0.21</v>
      </c>
    </row>
    <row r="9" ht="22.5" customHeight="1">
      <c r="A9" s="7" t="s">
        <v>46</v>
      </c>
      <c r="B9" s="38">
        <v>0.18</v>
      </c>
    </row>
    <row r="21">
      <c r="P21" s="39"/>
    </row>
    <row r="24" ht="22.5" customHeight="1">
      <c r="A24" s="4" t="s">
        <v>287</v>
      </c>
      <c r="B24" s="4" t="s">
        <v>288</v>
      </c>
      <c r="C24" s="4" t="s">
        <v>289</v>
      </c>
      <c r="D24" s="4" t="s">
        <v>290</v>
      </c>
      <c r="E24" s="40" t="s">
        <v>291</v>
      </c>
    </row>
    <row r="25" ht="22.5" customHeight="1">
      <c r="A25" s="41">
        <v>1.0</v>
      </c>
      <c r="B25" s="7" t="s">
        <v>18</v>
      </c>
      <c r="C25" s="42">
        <v>1.6290555197E10</v>
      </c>
      <c r="D25" s="41">
        <v>517.0</v>
      </c>
      <c r="E25" s="43">
        <f t="shared" ref="E25:E34" si="1">C25/1000000000</f>
        <v>16.2905552</v>
      </c>
    </row>
    <row r="26" ht="22.5" customHeight="1">
      <c r="A26" s="41">
        <v>2.0</v>
      </c>
      <c r="B26" s="7" t="s">
        <v>26</v>
      </c>
      <c r="C26" s="42">
        <v>4.200417454E9</v>
      </c>
      <c r="D26" s="41">
        <v>733.0</v>
      </c>
      <c r="E26" s="43">
        <f t="shared" si="1"/>
        <v>4.200417454</v>
      </c>
    </row>
    <row r="27" ht="22.5" customHeight="1">
      <c r="A27" s="41">
        <v>3.0</v>
      </c>
      <c r="B27" s="7" t="s">
        <v>292</v>
      </c>
      <c r="C27" s="42">
        <v>3.575129482E9</v>
      </c>
      <c r="D27" s="41">
        <v>419.0</v>
      </c>
      <c r="E27" s="43">
        <f t="shared" si="1"/>
        <v>3.575129482</v>
      </c>
    </row>
    <row r="28" ht="22.5" customHeight="1">
      <c r="A28" s="41">
        <v>4.0</v>
      </c>
      <c r="B28" s="7" t="s">
        <v>293</v>
      </c>
      <c r="C28" s="42">
        <v>2.892808725E9</v>
      </c>
      <c r="D28" s="41">
        <v>2072.0</v>
      </c>
      <c r="E28" s="43">
        <f t="shared" si="1"/>
        <v>2.892808725</v>
      </c>
    </row>
    <row r="29" ht="22.5" customHeight="1">
      <c r="A29" s="41">
        <v>5.0</v>
      </c>
      <c r="B29" s="7" t="s">
        <v>294</v>
      </c>
      <c r="C29" s="42">
        <v>2.751107024E9</v>
      </c>
      <c r="D29" s="41">
        <v>1990.0</v>
      </c>
      <c r="E29" s="43">
        <f t="shared" si="1"/>
        <v>2.751107024</v>
      </c>
    </row>
    <row r="30" ht="22.5" customHeight="1">
      <c r="A30" s="41">
        <v>6.0</v>
      </c>
      <c r="B30" s="7" t="s">
        <v>25</v>
      </c>
      <c r="C30" s="42">
        <v>2.56620361E9</v>
      </c>
      <c r="D30" s="41">
        <v>343.0</v>
      </c>
      <c r="E30" s="43">
        <f t="shared" si="1"/>
        <v>2.56620361</v>
      </c>
    </row>
    <row r="31" ht="22.5" customHeight="1">
      <c r="A31" s="41">
        <v>7.0</v>
      </c>
      <c r="B31" s="7" t="s">
        <v>295</v>
      </c>
      <c r="C31" s="42">
        <v>2.481801737E9</v>
      </c>
      <c r="D31" s="41">
        <v>298.0</v>
      </c>
      <c r="E31" s="43">
        <f t="shared" si="1"/>
        <v>2.481801737</v>
      </c>
    </row>
    <row r="32" ht="22.5" customHeight="1">
      <c r="A32" s="41">
        <v>8.0</v>
      </c>
      <c r="B32" s="7" t="s">
        <v>296</v>
      </c>
      <c r="C32" s="42">
        <v>2.408943578E9</v>
      </c>
      <c r="D32" s="41">
        <v>715.0</v>
      </c>
      <c r="E32" s="43">
        <f t="shared" si="1"/>
        <v>2.408943578</v>
      </c>
    </row>
    <row r="33" ht="22.5" customHeight="1">
      <c r="A33" s="41">
        <v>9.0</v>
      </c>
      <c r="B33" s="7" t="s">
        <v>297</v>
      </c>
      <c r="C33" s="42">
        <v>2.317643948E9</v>
      </c>
      <c r="D33" s="41">
        <v>751.0</v>
      </c>
      <c r="E33" s="43">
        <f t="shared" si="1"/>
        <v>2.317643948</v>
      </c>
    </row>
    <row r="34" ht="22.5" customHeight="1">
      <c r="A34" s="41">
        <v>10.0</v>
      </c>
      <c r="B34" s="7" t="s">
        <v>298</v>
      </c>
      <c r="C34" s="42">
        <v>2.257442465E9</v>
      </c>
      <c r="D34" s="41">
        <v>256.0</v>
      </c>
      <c r="E34" s="43">
        <f t="shared" si="1"/>
        <v>2.257442465</v>
      </c>
    </row>
  </sheetData>
  <dataValidations>
    <dataValidation type="custom" allowBlank="1" showDropDown="1" sqref="B2:B9 A25:A34 C25:E34">
      <formula1>AND(ISNUMBER(A2),(NOT(OR(NOT(ISERROR(DATEVALUE(A2))), AND(ISNUMBER(A2), LEFT(CELL("format", A2))="D")))))</formula1>
    </dataValidation>
  </dataValidations>
  <drawing r:id="rId1"/>
  <tableParts count="2">
    <tablePart r:id="rId4"/>
    <tablePart r:id="rId5"/>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9.88"/>
    <col customWidth="1" min="2" max="2" width="75.5"/>
  </cols>
  <sheetData>
    <row r="1">
      <c r="A1" s="44" t="s">
        <v>299</v>
      </c>
      <c r="B1" s="45" t="s">
        <v>300</v>
      </c>
    </row>
    <row r="2" ht="38.25" customHeight="1">
      <c r="A2" s="46" t="s">
        <v>301</v>
      </c>
      <c r="B2" s="47" t="s">
        <v>302</v>
      </c>
    </row>
    <row r="3" ht="38.25" customHeight="1">
      <c r="A3" s="48" t="s">
        <v>303</v>
      </c>
      <c r="B3" s="49" t="s">
        <v>304</v>
      </c>
    </row>
    <row r="4" ht="27.0" customHeight="1">
      <c r="A4" s="46" t="s">
        <v>305</v>
      </c>
      <c r="B4" s="47" t="s">
        <v>306</v>
      </c>
    </row>
    <row r="5" ht="30.0" customHeight="1">
      <c r="A5" s="48" t="s">
        <v>307</v>
      </c>
      <c r="B5" s="49" t="s">
        <v>308</v>
      </c>
    </row>
    <row r="6" ht="29.25" customHeight="1">
      <c r="A6" s="46" t="s">
        <v>309</v>
      </c>
      <c r="B6" s="47" t="s">
        <v>310</v>
      </c>
    </row>
    <row r="7">
      <c r="A7" s="48" t="s">
        <v>311</v>
      </c>
      <c r="B7" s="49" t="s">
        <v>312</v>
      </c>
    </row>
    <row r="8" ht="32.25" customHeight="1">
      <c r="A8" s="46" t="s">
        <v>265</v>
      </c>
      <c r="B8" s="47" t="s">
        <v>313</v>
      </c>
    </row>
    <row r="9">
      <c r="A9" s="50" t="s">
        <v>314</v>
      </c>
      <c r="B9" s="51" t="s">
        <v>315</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23.13"/>
    <col customWidth="1" min="2" max="2" width="56.0"/>
    <col customWidth="1" min="3" max="3" width="51.63"/>
  </cols>
  <sheetData>
    <row r="1" ht="22.5" customHeight="1">
      <c r="A1" s="4" t="s">
        <v>316</v>
      </c>
      <c r="B1" s="4" t="s">
        <v>6</v>
      </c>
      <c r="C1" s="4" t="s">
        <v>300</v>
      </c>
    </row>
    <row r="2" ht="22.5" customHeight="1">
      <c r="A2" s="7" t="s">
        <v>317</v>
      </c>
      <c r="B2" s="7" t="s">
        <v>318</v>
      </c>
      <c r="C2" s="52" t="s">
        <v>319</v>
      </c>
    </row>
    <row r="3" ht="22.5" customHeight="1">
      <c r="A3" s="7" t="s">
        <v>320</v>
      </c>
      <c r="B3" s="7" t="s">
        <v>321</v>
      </c>
      <c r="C3" s="52" t="s">
        <v>322</v>
      </c>
    </row>
    <row r="4" ht="22.5" customHeight="1">
      <c r="A4" s="7" t="s">
        <v>323</v>
      </c>
      <c r="B4" s="7" t="s">
        <v>324</v>
      </c>
      <c r="C4" s="53" t="s">
        <v>325</v>
      </c>
    </row>
    <row r="5" ht="22.5" customHeight="1">
      <c r="A5" s="7" t="s">
        <v>326</v>
      </c>
      <c r="B5" s="7" t="s">
        <v>327</v>
      </c>
      <c r="C5" s="54" t="s">
        <v>328</v>
      </c>
    </row>
    <row r="6" ht="22.5" customHeight="1">
      <c r="A6" s="7" t="s">
        <v>329</v>
      </c>
      <c r="B6" s="7" t="s">
        <v>330</v>
      </c>
      <c r="C6" s="52" t="s">
        <v>331</v>
      </c>
    </row>
    <row r="7" ht="22.5" customHeight="1">
      <c r="B7" s="7" t="s">
        <v>332</v>
      </c>
      <c r="C7" s="52" t="s">
        <v>333</v>
      </c>
    </row>
    <row r="8" ht="22.5" customHeight="1">
      <c r="B8" s="7" t="s">
        <v>334</v>
      </c>
      <c r="C8" s="52" t="s">
        <v>335</v>
      </c>
    </row>
    <row r="9" ht="22.5" customHeight="1">
      <c r="B9" s="7" t="s">
        <v>336</v>
      </c>
      <c r="C9" s="52" t="s">
        <v>337</v>
      </c>
    </row>
    <row r="10" ht="22.5" customHeight="1">
      <c r="A10" s="7" t="s">
        <v>338</v>
      </c>
      <c r="B10" s="7" t="s">
        <v>339</v>
      </c>
      <c r="C10" s="52" t="s">
        <v>340</v>
      </c>
    </row>
    <row r="11" ht="22.5" customHeight="1">
      <c r="A11" s="7" t="s">
        <v>341</v>
      </c>
      <c r="B11" s="7" t="s">
        <v>342</v>
      </c>
      <c r="C11" s="52" t="s">
        <v>343</v>
      </c>
    </row>
    <row r="12" ht="22.5" customHeight="1">
      <c r="A12" s="7" t="s">
        <v>344</v>
      </c>
      <c r="B12" s="7" t="s">
        <v>345</v>
      </c>
      <c r="C12" s="52" t="s">
        <v>346</v>
      </c>
    </row>
    <row r="13" ht="22.5" customHeight="1">
      <c r="B13" s="7" t="s">
        <v>347</v>
      </c>
      <c r="C13" s="52" t="s">
        <v>348</v>
      </c>
    </row>
    <row r="14" ht="22.5" customHeight="1">
      <c r="B14" s="7" t="s">
        <v>349</v>
      </c>
      <c r="C14" s="52" t="s">
        <v>350</v>
      </c>
    </row>
    <row r="15" ht="22.5" customHeight="1">
      <c r="A15" s="7" t="s">
        <v>351</v>
      </c>
      <c r="B15" s="7" t="s">
        <v>352</v>
      </c>
      <c r="C15" s="52" t="s">
        <v>353</v>
      </c>
    </row>
    <row r="16" ht="22.5" customHeight="1">
      <c r="B16" s="7" t="s">
        <v>354</v>
      </c>
      <c r="C16" s="52" t="s">
        <v>355</v>
      </c>
    </row>
    <row r="17" ht="22.5" customHeight="1">
      <c r="A17" s="7" t="s">
        <v>356</v>
      </c>
      <c r="B17" s="7" t="s">
        <v>357</v>
      </c>
      <c r="C17" s="52" t="s">
        <v>358</v>
      </c>
    </row>
    <row r="18" ht="22.5" customHeight="1">
      <c r="B18" s="7" t="s">
        <v>359</v>
      </c>
      <c r="C18" s="52" t="s">
        <v>360</v>
      </c>
    </row>
    <row r="19" ht="22.5" customHeight="1">
      <c r="B19" s="7" t="s">
        <v>361</v>
      </c>
      <c r="C19" s="52" t="s">
        <v>362</v>
      </c>
    </row>
    <row r="20" ht="22.5" customHeight="1">
      <c r="A20" s="7" t="s">
        <v>363</v>
      </c>
      <c r="B20" s="7" t="s">
        <v>364</v>
      </c>
      <c r="C20" s="52" t="s">
        <v>365</v>
      </c>
    </row>
  </sheetData>
  <hyperlinks>
    <hyperlink r:id="rId1" ref="C4"/>
  </hyperlinks>
  <drawing r:id="rId2"/>
  <tableParts count="1">
    <tablePart r:id="rId4"/>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16.38"/>
    <col customWidth="1" min="2" max="2" width="8.13"/>
    <col customWidth="1" min="5" max="5" width="36.13"/>
    <col customWidth="1" min="6" max="6" width="16.88"/>
    <col customWidth="1" min="8" max="8" width="16.0"/>
    <col customWidth="1" min="9" max="9" width="11.88"/>
    <col customWidth="1" min="10" max="10" width="62.13"/>
  </cols>
  <sheetData>
    <row r="1" ht="22.5" customHeight="1">
      <c r="A1" s="6" t="s">
        <v>366</v>
      </c>
      <c r="B1" s="6" t="s">
        <v>367</v>
      </c>
      <c r="E1" s="55" t="s">
        <v>368</v>
      </c>
      <c r="F1" s="56" t="s">
        <v>369</v>
      </c>
      <c r="G1" s="57" t="s">
        <v>370</v>
      </c>
      <c r="H1" s="56" t="s">
        <v>371</v>
      </c>
      <c r="I1" s="57" t="s">
        <v>372</v>
      </c>
      <c r="J1" s="56" t="s">
        <v>373</v>
      </c>
    </row>
    <row r="2" ht="22.5" customHeight="1">
      <c r="A2" s="7" t="s">
        <v>374</v>
      </c>
      <c r="B2" s="58">
        <v>400.0</v>
      </c>
      <c r="E2" s="52" t="s">
        <v>375</v>
      </c>
      <c r="F2" s="59">
        <v>10.0</v>
      </c>
      <c r="G2" s="60">
        <f t="shared" ref="G2:G6" si="1">$B$2*F2</f>
        <v>4000</v>
      </c>
      <c r="H2" s="59">
        <v>5.0</v>
      </c>
      <c r="I2" s="60">
        <f t="shared" ref="I2:I6" si="2">$B$3*H2</f>
        <v>2000</v>
      </c>
      <c r="J2" s="59" t="s">
        <v>376</v>
      </c>
    </row>
    <row r="3" ht="22.5" customHeight="1">
      <c r="A3" s="7" t="s">
        <v>377</v>
      </c>
      <c r="B3" s="58">
        <v>400.0</v>
      </c>
      <c r="E3" s="52" t="s">
        <v>378</v>
      </c>
      <c r="F3" s="59">
        <v>10.0</v>
      </c>
      <c r="G3" s="60">
        <f t="shared" si="1"/>
        <v>4000</v>
      </c>
      <c r="H3" s="59">
        <v>5.0</v>
      </c>
      <c r="I3" s="60">
        <f t="shared" si="2"/>
        <v>2000</v>
      </c>
      <c r="J3" s="59" t="s">
        <v>379</v>
      </c>
    </row>
    <row r="4" ht="22.5" customHeight="1">
      <c r="E4" s="52" t="s">
        <v>380</v>
      </c>
      <c r="F4" s="59">
        <v>5.0</v>
      </c>
      <c r="G4" s="60">
        <f t="shared" si="1"/>
        <v>2000</v>
      </c>
      <c r="H4" s="59">
        <v>10.0</v>
      </c>
      <c r="I4" s="60">
        <f t="shared" si="2"/>
        <v>4000</v>
      </c>
      <c r="J4" s="59" t="s">
        <v>381</v>
      </c>
    </row>
    <row r="5" ht="22.5" customHeight="1">
      <c r="E5" s="52" t="s">
        <v>382</v>
      </c>
      <c r="F5" s="59">
        <v>10.0</v>
      </c>
      <c r="G5" s="60">
        <f t="shared" si="1"/>
        <v>4000</v>
      </c>
      <c r="H5" s="59">
        <v>5.0</v>
      </c>
      <c r="I5" s="60">
        <f t="shared" si="2"/>
        <v>2000</v>
      </c>
      <c r="J5" s="59" t="s">
        <v>383</v>
      </c>
    </row>
    <row r="6" ht="22.5" customHeight="1">
      <c r="E6" s="52" t="s">
        <v>384</v>
      </c>
      <c r="F6" s="59">
        <v>5.0</v>
      </c>
      <c r="G6" s="60">
        <f t="shared" si="1"/>
        <v>2000</v>
      </c>
      <c r="H6" s="59">
        <v>5.0</v>
      </c>
      <c r="I6" s="60">
        <f t="shared" si="2"/>
        <v>2000</v>
      </c>
      <c r="J6" s="59" t="s">
        <v>385</v>
      </c>
    </row>
    <row r="7" ht="22.5" customHeight="1">
      <c r="E7" s="61" t="s">
        <v>386</v>
      </c>
      <c r="F7" s="62">
        <f t="shared" ref="F7:I7" si="3">SUM(F2:F6)</f>
        <v>40</v>
      </c>
      <c r="G7" s="63">
        <f t="shared" si="3"/>
        <v>16000</v>
      </c>
      <c r="H7" s="62">
        <f t="shared" si="3"/>
        <v>30</v>
      </c>
      <c r="I7" s="63">
        <f t="shared" si="3"/>
        <v>12000</v>
      </c>
      <c r="J7" s="62"/>
    </row>
    <row r="10" ht="22.5" customHeight="1">
      <c r="E10" s="6" t="s">
        <v>387</v>
      </c>
      <c r="F10" s="6" t="s">
        <v>388</v>
      </c>
    </row>
    <row r="11" ht="22.5" customHeight="1">
      <c r="E11" s="7" t="s">
        <v>389</v>
      </c>
      <c r="F11" s="64">
        <v>1000.0</v>
      </c>
    </row>
    <row r="12" ht="22.5" customHeight="1">
      <c r="E12" s="7" t="s">
        <v>390</v>
      </c>
      <c r="F12" s="64">
        <v>1000.0</v>
      </c>
    </row>
    <row r="13" ht="22.5" customHeight="1">
      <c r="E13" s="7" t="s">
        <v>391</v>
      </c>
      <c r="F13" s="64">
        <v>1000.0</v>
      </c>
    </row>
    <row r="14" ht="22.5" customHeight="1">
      <c r="E14" s="7" t="s">
        <v>392</v>
      </c>
      <c r="F14" s="64">
        <v>1000.0</v>
      </c>
    </row>
    <row r="15" ht="22.5" customHeight="1">
      <c r="E15" s="65" t="s">
        <v>386</v>
      </c>
      <c r="F15" s="66">
        <f>SUM(F11:F14)</f>
        <v>4000</v>
      </c>
    </row>
    <row r="18">
      <c r="E18" s="67" t="s">
        <v>393</v>
      </c>
      <c r="F18" s="68">
        <f>G7+I7+F15</f>
        <v>32000</v>
      </c>
    </row>
  </sheetData>
  <dataValidations>
    <dataValidation type="custom" allowBlank="1" showDropDown="1" sqref="B2:B3 F11:F15">
      <formula1>AND(ISNUMBER(B2),(NOT(OR(NOT(ISERROR(DATEVALUE(B2))), AND(ISNUMBER(B2), LEFT(CELL("format", B2))="D")))))</formula1>
    </dataValidation>
  </dataValidations>
  <drawing r:id="rId1"/>
  <tableParts count="3">
    <tablePart r:id="rId5"/>
    <tablePart r:id="rId6"/>
    <tablePart r:id="rId7"/>
  </tableParts>
</worksheet>
</file>